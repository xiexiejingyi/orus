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atthias/Downloads/"/>
    </mc:Choice>
  </mc:AlternateContent>
  <xr:revisionPtr revIDLastSave="0" documentId="13_ncr:1_{C772024E-320E-5A4D-BE79-5809B48B2E6D}" xr6:coauthVersionLast="47" xr6:coauthVersionMax="47" xr10:uidLastSave="{00000000-0000-0000-0000-000000000000}"/>
  <bookViews>
    <workbookView xWindow="0" yWindow="660" windowWidth="18480" windowHeight="17080" tabRatio="500" xr2:uid="{00000000-000D-0000-FFFF-FFFF00000000}"/>
  </bookViews>
  <sheets>
    <sheet name=" Menu" sheetId="1" r:id="rId1"/>
    <sheet name="Costing" sheetId="2" r:id="rId2"/>
    <sheet name="Alcohol Costing" sheetId="3" r:id="rId3"/>
    <sheet name="Bottle Sa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8" i="2" l="1"/>
  <c r="F29" i="4"/>
  <c r="G29" i="4" s="1"/>
  <c r="E29" i="4"/>
  <c r="F28" i="4"/>
  <c r="G28" i="4" s="1"/>
  <c r="E28" i="4"/>
  <c r="F27" i="4"/>
  <c r="G27" i="4" s="1"/>
  <c r="E27" i="4"/>
  <c r="G26" i="4"/>
  <c r="F26" i="4"/>
  <c r="E26" i="4"/>
  <c r="F25" i="4"/>
  <c r="G25" i="4" s="1"/>
  <c r="E25" i="4"/>
  <c r="G24" i="4"/>
  <c r="F24" i="4"/>
  <c r="E24" i="4"/>
  <c r="F23" i="4"/>
  <c r="G23" i="4" s="1"/>
  <c r="E23" i="4"/>
  <c r="F22" i="4"/>
  <c r="G22" i="4" s="1"/>
  <c r="E22" i="4"/>
  <c r="G21" i="4"/>
  <c r="F21" i="4"/>
  <c r="E21" i="4"/>
  <c r="F20" i="4"/>
  <c r="G20" i="4" s="1"/>
  <c r="E20" i="4"/>
  <c r="F19" i="4"/>
  <c r="G19" i="4" s="1"/>
  <c r="E19" i="4"/>
  <c r="F18" i="4"/>
  <c r="G18" i="4" s="1"/>
  <c r="E18" i="4"/>
  <c r="F17" i="4"/>
  <c r="G17" i="4" s="1"/>
  <c r="E17" i="4"/>
  <c r="G16" i="4"/>
  <c r="F16" i="4"/>
  <c r="E16" i="4"/>
  <c r="F15" i="4"/>
  <c r="G15" i="4" s="1"/>
  <c r="E15" i="4"/>
  <c r="G13" i="4"/>
  <c r="F13" i="4"/>
  <c r="E13" i="4"/>
  <c r="F12" i="4"/>
  <c r="G12" i="4" s="1"/>
  <c r="E12" i="4"/>
  <c r="F11" i="4"/>
  <c r="G11" i="4" s="1"/>
  <c r="E11" i="4"/>
  <c r="G10" i="4"/>
  <c r="F10" i="4"/>
  <c r="E10" i="4"/>
  <c r="F9" i="4"/>
  <c r="G9" i="4" s="1"/>
  <c r="E9" i="4"/>
  <c r="F8" i="4"/>
  <c r="G8" i="4" s="1"/>
  <c r="E8" i="4"/>
  <c r="F7" i="4"/>
  <c r="G7" i="4" s="1"/>
  <c r="E7" i="4"/>
  <c r="F6" i="4"/>
  <c r="G6" i="4" s="1"/>
  <c r="E6" i="4"/>
  <c r="G5" i="4"/>
  <c r="F5" i="4"/>
  <c r="E5" i="4"/>
  <c r="F4" i="4"/>
  <c r="G4" i="4" s="1"/>
  <c r="E4" i="4"/>
  <c r="J38" i="3"/>
  <c r="G38" i="3"/>
  <c r="F38" i="3"/>
  <c r="E38" i="3"/>
  <c r="D38" i="3"/>
  <c r="I38" i="3" s="1"/>
  <c r="M37" i="3"/>
  <c r="L37" i="3"/>
  <c r="K37" i="3"/>
  <c r="H37" i="3"/>
  <c r="G37" i="3"/>
  <c r="F37" i="3"/>
  <c r="E37" i="3"/>
  <c r="D37" i="3"/>
  <c r="J37" i="3" s="1"/>
  <c r="L36" i="3"/>
  <c r="I36" i="3"/>
  <c r="H36" i="3"/>
  <c r="G36" i="3"/>
  <c r="F36" i="3"/>
  <c r="D36" i="3"/>
  <c r="K36" i="3" s="1"/>
  <c r="M35" i="3"/>
  <c r="J35" i="3"/>
  <c r="I35" i="3"/>
  <c r="H35" i="3"/>
  <c r="G35" i="3"/>
  <c r="E35" i="3"/>
  <c r="D35" i="3"/>
  <c r="L35" i="3" s="1"/>
  <c r="K34" i="3"/>
  <c r="D34" i="3"/>
  <c r="M34" i="3" s="1"/>
  <c r="L33" i="3"/>
  <c r="K33" i="3"/>
  <c r="J33" i="3"/>
  <c r="I33" i="3"/>
  <c r="H33" i="3"/>
  <c r="G33" i="3"/>
  <c r="F33" i="3"/>
  <c r="E33" i="3"/>
  <c r="D33" i="3"/>
  <c r="N33" i="3" s="1"/>
  <c r="M32" i="3"/>
  <c r="L32" i="3"/>
  <c r="K32" i="3"/>
  <c r="J32" i="3"/>
  <c r="I32" i="3"/>
  <c r="H32" i="3"/>
  <c r="G32" i="3"/>
  <c r="F32" i="3"/>
  <c r="D32" i="3"/>
  <c r="E32" i="3" s="1"/>
  <c r="J31" i="3"/>
  <c r="D31" i="3"/>
  <c r="F31" i="3" s="1"/>
  <c r="M30" i="3"/>
  <c r="K30" i="3"/>
  <c r="J30" i="3"/>
  <c r="H30" i="3"/>
  <c r="E30" i="3"/>
  <c r="D30" i="3"/>
  <c r="G30" i="3" s="1"/>
  <c r="L29" i="3"/>
  <c r="K29" i="3"/>
  <c r="I29" i="3"/>
  <c r="F29" i="3"/>
  <c r="D29" i="3"/>
  <c r="H29" i="3" s="1"/>
  <c r="M28" i="3"/>
  <c r="L28" i="3"/>
  <c r="J28" i="3"/>
  <c r="G28" i="3"/>
  <c r="F28" i="3"/>
  <c r="E28" i="3"/>
  <c r="D28" i="3"/>
  <c r="I28" i="3" s="1"/>
  <c r="M27" i="3"/>
  <c r="D27" i="3"/>
  <c r="J27" i="3" s="1"/>
  <c r="D26" i="3"/>
  <c r="K26" i="3" s="1"/>
  <c r="M25" i="3"/>
  <c r="J25" i="3"/>
  <c r="I25" i="3"/>
  <c r="H25" i="3"/>
  <c r="F25" i="3"/>
  <c r="E25" i="3"/>
  <c r="D25" i="3"/>
  <c r="L25" i="3" s="1"/>
  <c r="K24" i="3"/>
  <c r="G24" i="3"/>
  <c r="F24" i="3"/>
  <c r="D24" i="3"/>
  <c r="M24" i="3" s="1"/>
  <c r="L23" i="3"/>
  <c r="K23" i="3"/>
  <c r="J23" i="3"/>
  <c r="I23" i="3"/>
  <c r="H23" i="3"/>
  <c r="G23" i="3"/>
  <c r="F23" i="3"/>
  <c r="E23" i="3"/>
  <c r="D23" i="3"/>
  <c r="N23" i="3" s="1"/>
  <c r="M22" i="3"/>
  <c r="L22" i="3"/>
  <c r="K22" i="3"/>
  <c r="J22" i="3"/>
  <c r="I22" i="3"/>
  <c r="H22" i="3"/>
  <c r="G22" i="3"/>
  <c r="F22" i="3"/>
  <c r="D22" i="3"/>
  <c r="E22" i="3" s="1"/>
  <c r="J21" i="3"/>
  <c r="I21" i="3"/>
  <c r="D21" i="3"/>
  <c r="F21" i="3" s="1"/>
  <c r="M20" i="3"/>
  <c r="L20" i="3"/>
  <c r="K20" i="3"/>
  <c r="J20" i="3"/>
  <c r="H20" i="3"/>
  <c r="E20" i="3"/>
  <c r="D20" i="3"/>
  <c r="G20" i="3" s="1"/>
  <c r="M19" i="3"/>
  <c r="L19" i="3"/>
  <c r="K19" i="3"/>
  <c r="I19" i="3"/>
  <c r="F19" i="3"/>
  <c r="D19" i="3"/>
  <c r="H19" i="3" s="1"/>
  <c r="M17" i="3"/>
  <c r="L17" i="3"/>
  <c r="D17" i="3"/>
  <c r="I17" i="3" s="1"/>
  <c r="N16" i="3"/>
  <c r="M16" i="3"/>
  <c r="D16" i="3"/>
  <c r="J16" i="3" s="1"/>
  <c r="D15" i="3"/>
  <c r="K15" i="3" s="1"/>
  <c r="M14" i="3"/>
  <c r="J14" i="3"/>
  <c r="H14" i="3"/>
  <c r="G14" i="3"/>
  <c r="F14" i="3"/>
  <c r="E14" i="3"/>
  <c r="D14" i="3"/>
  <c r="L14" i="3" s="1"/>
  <c r="K13" i="3"/>
  <c r="H13" i="3"/>
  <c r="G13" i="3"/>
  <c r="F13" i="3"/>
  <c r="D13" i="3"/>
  <c r="M13" i="3" s="1"/>
  <c r="L12" i="3"/>
  <c r="K12" i="3"/>
  <c r="J12" i="3"/>
  <c r="I12" i="3"/>
  <c r="H12" i="3"/>
  <c r="G12" i="3"/>
  <c r="F12" i="3"/>
  <c r="E12" i="3"/>
  <c r="D12" i="3"/>
  <c r="N12" i="3" s="1"/>
  <c r="M11" i="3"/>
  <c r="L11" i="3"/>
  <c r="K11" i="3"/>
  <c r="J11" i="3"/>
  <c r="I11" i="3"/>
  <c r="H11" i="3"/>
  <c r="G11" i="3"/>
  <c r="F11" i="3"/>
  <c r="D11" i="3"/>
  <c r="E11" i="3" s="1"/>
  <c r="K10" i="3"/>
  <c r="J10" i="3"/>
  <c r="I10" i="3"/>
  <c r="D10" i="3"/>
  <c r="F10" i="3" s="1"/>
  <c r="M9" i="3"/>
  <c r="L9" i="3"/>
  <c r="K9" i="3"/>
  <c r="J9" i="3"/>
  <c r="H9" i="3"/>
  <c r="E9" i="3"/>
  <c r="D9" i="3"/>
  <c r="G9" i="3" s="1"/>
  <c r="M8" i="3"/>
  <c r="L8" i="3"/>
  <c r="K8" i="3"/>
  <c r="I8" i="3"/>
  <c r="F8" i="3"/>
  <c r="D8" i="3"/>
  <c r="H8" i="3" s="1"/>
  <c r="M7" i="3"/>
  <c r="L7" i="3"/>
  <c r="D7" i="3"/>
  <c r="I7" i="3" s="1"/>
  <c r="M6" i="3"/>
  <c r="D6" i="3"/>
  <c r="J6" i="3" s="1"/>
  <c r="N5" i="3"/>
  <c r="D5" i="3"/>
  <c r="K5" i="3" s="1"/>
  <c r="M4" i="3"/>
  <c r="J4" i="3"/>
  <c r="H4" i="3"/>
  <c r="G4" i="3"/>
  <c r="F4" i="3"/>
  <c r="E4" i="3"/>
  <c r="D4" i="3"/>
  <c r="L4" i="3" s="1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39" i="2"/>
  <c r="D140" i="2" s="1"/>
  <c r="D138" i="2"/>
  <c r="D137" i="2"/>
  <c r="D132" i="2"/>
  <c r="D133" i="2" s="1"/>
  <c r="D131" i="2"/>
  <c r="D130" i="2"/>
  <c r="D125" i="2"/>
  <c r="D124" i="2"/>
  <c r="D123" i="2"/>
  <c r="D126" i="2" s="1"/>
  <c r="D122" i="2"/>
  <c r="D115" i="2"/>
  <c r="D114" i="2"/>
  <c r="D113" i="2"/>
  <c r="D112" i="2"/>
  <c r="D116" i="2" s="1"/>
  <c r="D107" i="2"/>
  <c r="D106" i="2"/>
  <c r="D105" i="2"/>
  <c r="D104" i="2"/>
  <c r="D97" i="2"/>
  <c r="D96" i="2"/>
  <c r="D95" i="2"/>
  <c r="D94" i="2"/>
  <c r="D93" i="2"/>
  <c r="D98" i="2" s="1"/>
  <c r="D88" i="2"/>
  <c r="D87" i="2"/>
  <c r="D86" i="2"/>
  <c r="D85" i="2"/>
  <c r="D84" i="2"/>
  <c r="D89" i="2" s="1"/>
  <c r="D79" i="2"/>
  <c r="D78" i="2"/>
  <c r="D77" i="2"/>
  <c r="D76" i="2"/>
  <c r="D75" i="2"/>
  <c r="D80" i="2" s="1"/>
  <c r="D70" i="2"/>
  <c r="D69" i="2"/>
  <c r="D68" i="2"/>
  <c r="D67" i="2"/>
  <c r="D66" i="2"/>
  <c r="D71" i="2" s="1"/>
  <c r="D59" i="2"/>
  <c r="D58" i="2"/>
  <c r="D57" i="2"/>
  <c r="D56" i="2"/>
  <c r="D60" i="2" s="1"/>
  <c r="D51" i="2"/>
  <c r="D50" i="2"/>
  <c r="D49" i="2"/>
  <c r="D52" i="2" s="1"/>
  <c r="D44" i="2"/>
  <c r="D45" i="2" s="1"/>
  <c r="D43" i="2"/>
  <c r="D42" i="2"/>
  <c r="D37" i="2"/>
  <c r="D38" i="2" s="1"/>
  <c r="D36" i="2"/>
  <c r="D35" i="2"/>
  <c r="D30" i="2"/>
  <c r="D29" i="2"/>
  <c r="D28" i="2"/>
  <c r="D31" i="2" s="1"/>
  <c r="D27" i="2"/>
  <c r="D22" i="2"/>
  <c r="D21" i="2"/>
  <c r="D20" i="2"/>
  <c r="D19" i="2"/>
  <c r="D23" i="2" s="1"/>
  <c r="D15" i="2"/>
  <c r="F16" i="2" s="1"/>
  <c r="D14" i="2"/>
  <c r="D13" i="2"/>
  <c r="D8" i="2"/>
  <c r="D7" i="2"/>
  <c r="D6" i="2"/>
  <c r="D9" i="2" s="1"/>
  <c r="D5" i="2"/>
  <c r="D99" i="2" l="1"/>
  <c r="H99" i="2"/>
  <c r="C158" i="2"/>
  <c r="G99" i="2"/>
  <c r="F158" i="2" s="1"/>
  <c r="F99" i="2"/>
  <c r="D61" i="2"/>
  <c r="H61" i="2"/>
  <c r="C154" i="2"/>
  <c r="G61" i="2"/>
  <c r="F154" i="2" s="1"/>
  <c r="F61" i="2"/>
  <c r="D81" i="2"/>
  <c r="H81" i="2"/>
  <c r="C156" i="2"/>
  <c r="G81" i="2"/>
  <c r="F156" i="2" s="1"/>
  <c r="F81" i="2"/>
  <c r="F141" i="2"/>
  <c r="C163" i="2"/>
  <c r="H141" i="2"/>
  <c r="G141" i="2"/>
  <c r="F163" i="2" s="1"/>
  <c r="D141" i="2"/>
  <c r="G24" i="2"/>
  <c r="F149" i="2" s="1"/>
  <c r="F24" i="2"/>
  <c r="D24" i="2"/>
  <c r="C149" i="2"/>
  <c r="H24" i="2"/>
  <c r="H127" i="2"/>
  <c r="F127" i="2"/>
  <c r="G127" i="2"/>
  <c r="F161" i="2" s="1"/>
  <c r="C161" i="2"/>
  <c r="D127" i="2"/>
  <c r="D90" i="2"/>
  <c r="C157" i="2"/>
  <c r="H90" i="2"/>
  <c r="G90" i="2"/>
  <c r="F157" i="2" s="1"/>
  <c r="F90" i="2"/>
  <c r="G117" i="2"/>
  <c r="F160" i="2" s="1"/>
  <c r="F117" i="2"/>
  <c r="D117" i="2"/>
  <c r="C160" i="2"/>
  <c r="H117" i="2"/>
  <c r="H39" i="2"/>
  <c r="D39" i="2"/>
  <c r="C151" i="2"/>
  <c r="G39" i="2"/>
  <c r="F151" i="2" s="1"/>
  <c r="F39" i="2"/>
  <c r="D72" i="2"/>
  <c r="C155" i="2"/>
  <c r="H72" i="2"/>
  <c r="G72" i="2"/>
  <c r="F155" i="2" s="1"/>
  <c r="F72" i="2"/>
  <c r="F109" i="2"/>
  <c r="D109" i="2"/>
  <c r="C159" i="2"/>
  <c r="H109" i="2"/>
  <c r="G109" i="2"/>
  <c r="F159" i="2" s="1"/>
  <c r="H32" i="2"/>
  <c r="G32" i="2"/>
  <c r="F150" i="2" s="1"/>
  <c r="F32" i="2"/>
  <c r="D32" i="2"/>
  <c r="C150" i="2"/>
  <c r="H134" i="2"/>
  <c r="G134" i="2"/>
  <c r="F162" i="2" s="1"/>
  <c r="D134" i="2"/>
  <c r="F134" i="2"/>
  <c r="C162" i="2"/>
  <c r="G148" i="2"/>
  <c r="E148" i="2"/>
  <c r="G46" i="2"/>
  <c r="F152" i="2" s="1"/>
  <c r="H46" i="2"/>
  <c r="F46" i="2"/>
  <c r="D46" i="2"/>
  <c r="C152" i="2"/>
  <c r="C147" i="2"/>
  <c r="G10" i="2"/>
  <c r="F147" i="2" s="1"/>
  <c r="F10" i="2"/>
  <c r="D10" i="2"/>
  <c r="H10" i="2"/>
  <c r="C153" i="2"/>
  <c r="H53" i="2"/>
  <c r="G53" i="2"/>
  <c r="F153" i="2" s="1"/>
  <c r="F53" i="2"/>
  <c r="D53" i="2"/>
  <c r="G16" i="2"/>
  <c r="F148" i="2" s="1"/>
  <c r="L5" i="3"/>
  <c r="K6" i="3"/>
  <c r="J7" i="3"/>
  <c r="G10" i="3"/>
  <c r="N13" i="3"/>
  <c r="L15" i="3"/>
  <c r="K16" i="3"/>
  <c r="J17" i="3"/>
  <c r="G21" i="3"/>
  <c r="N24" i="3"/>
  <c r="L26" i="3"/>
  <c r="K27" i="3"/>
  <c r="G31" i="3"/>
  <c r="N34" i="3"/>
  <c r="H16" i="2"/>
  <c r="C148" i="2"/>
  <c r="N4" i="3"/>
  <c r="M5" i="3"/>
  <c r="L6" i="3"/>
  <c r="K7" i="3"/>
  <c r="J8" i="3"/>
  <c r="I9" i="3"/>
  <c r="H10" i="3"/>
  <c r="E13" i="3"/>
  <c r="N14" i="3"/>
  <c r="M15" i="3"/>
  <c r="L16" i="3"/>
  <c r="K17" i="3"/>
  <c r="J19" i="3"/>
  <c r="I20" i="3"/>
  <c r="H21" i="3"/>
  <c r="E24" i="3"/>
  <c r="N25" i="3"/>
  <c r="M26" i="3"/>
  <c r="L27" i="3"/>
  <c r="K28" i="3"/>
  <c r="J29" i="3"/>
  <c r="I30" i="3"/>
  <c r="H31" i="3"/>
  <c r="E34" i="3"/>
  <c r="N35" i="3"/>
  <c r="M36" i="3"/>
  <c r="K38" i="3"/>
  <c r="N15" i="3"/>
  <c r="I31" i="3"/>
  <c r="F34" i="3"/>
  <c r="N36" i="3"/>
  <c r="L38" i="3"/>
  <c r="N6" i="3"/>
  <c r="E15" i="3"/>
  <c r="E26" i="3"/>
  <c r="N27" i="3"/>
  <c r="G34" i="3"/>
  <c r="F35" i="3"/>
  <c r="E36" i="3"/>
  <c r="N37" i="3"/>
  <c r="M38" i="3"/>
  <c r="N26" i="3"/>
  <c r="K21" i="3"/>
  <c r="H24" i="3"/>
  <c r="G25" i="3"/>
  <c r="F26" i="3"/>
  <c r="E27" i="3"/>
  <c r="N28" i="3"/>
  <c r="M29" i="3"/>
  <c r="L30" i="3"/>
  <c r="K31" i="3"/>
  <c r="H34" i="3"/>
  <c r="N38" i="3"/>
  <c r="F5" i="3"/>
  <c r="E6" i="3"/>
  <c r="N7" i="3"/>
  <c r="E16" i="3"/>
  <c r="G5" i="3"/>
  <c r="F6" i="3"/>
  <c r="E7" i="3"/>
  <c r="N8" i="3"/>
  <c r="L10" i="3"/>
  <c r="I13" i="3"/>
  <c r="G15" i="3"/>
  <c r="F16" i="3"/>
  <c r="E17" i="3"/>
  <c r="N19" i="3"/>
  <c r="L21" i="3"/>
  <c r="I24" i="3"/>
  <c r="G26" i="3"/>
  <c r="F27" i="3"/>
  <c r="N29" i="3"/>
  <c r="L31" i="3"/>
  <c r="I34" i="3"/>
  <c r="F15" i="3"/>
  <c r="N17" i="3"/>
  <c r="I4" i="3"/>
  <c r="H5" i="3"/>
  <c r="G6" i="3"/>
  <c r="F7" i="3"/>
  <c r="E8" i="3"/>
  <c r="N9" i="3"/>
  <c r="M10" i="3"/>
  <c r="J13" i="3"/>
  <c r="I14" i="3"/>
  <c r="H15" i="3"/>
  <c r="G16" i="3"/>
  <c r="F17" i="3"/>
  <c r="E19" i="3"/>
  <c r="N20" i="3"/>
  <c r="M21" i="3"/>
  <c r="J24" i="3"/>
  <c r="H26" i="3"/>
  <c r="G27" i="3"/>
  <c r="E29" i="3"/>
  <c r="N30" i="3"/>
  <c r="M31" i="3"/>
  <c r="J34" i="3"/>
  <c r="E5" i="3"/>
  <c r="I15" i="3"/>
  <c r="G17" i="3"/>
  <c r="N21" i="3"/>
  <c r="I26" i="3"/>
  <c r="H27" i="3"/>
  <c r="N31" i="3"/>
  <c r="D16" i="2"/>
  <c r="K4" i="3"/>
  <c r="J5" i="3"/>
  <c r="I6" i="3"/>
  <c r="H7" i="3"/>
  <c r="G8" i="3"/>
  <c r="F9" i="3"/>
  <c r="E10" i="3"/>
  <c r="N11" i="3"/>
  <c r="M12" i="3"/>
  <c r="L13" i="3"/>
  <c r="K14" i="3"/>
  <c r="J15" i="3"/>
  <c r="I16" i="3"/>
  <c r="H17" i="3"/>
  <c r="G19" i="3"/>
  <c r="F20" i="3"/>
  <c r="E21" i="3"/>
  <c r="N22" i="3"/>
  <c r="M23" i="3"/>
  <c r="L24" i="3"/>
  <c r="K25" i="3"/>
  <c r="J26" i="3"/>
  <c r="I27" i="3"/>
  <c r="H28" i="3"/>
  <c r="G29" i="3"/>
  <c r="F30" i="3"/>
  <c r="E31" i="3"/>
  <c r="N32" i="3"/>
  <c r="M33" i="3"/>
  <c r="L34" i="3"/>
  <c r="K35" i="3"/>
  <c r="J36" i="3"/>
  <c r="I37" i="3"/>
  <c r="H38" i="3"/>
  <c r="I5" i="3"/>
  <c r="H6" i="3"/>
  <c r="G7" i="3"/>
  <c r="N10" i="3"/>
  <c r="H16" i="3"/>
  <c r="G152" i="2" l="1"/>
  <c r="E152" i="2"/>
  <c r="E155" i="2"/>
  <c r="G155" i="2"/>
  <c r="G154" i="2"/>
  <c r="E154" i="2"/>
  <c r="E160" i="2"/>
  <c r="G160" i="2"/>
  <c r="E161" i="2"/>
  <c r="G161" i="2"/>
  <c r="E163" i="2"/>
  <c r="G163" i="2"/>
  <c r="E147" i="2"/>
  <c r="G147" i="2"/>
  <c r="E151" i="2"/>
  <c r="G151" i="2"/>
  <c r="E157" i="2"/>
  <c r="G157" i="2"/>
  <c r="G156" i="2"/>
  <c r="E156" i="2"/>
  <c r="G158" i="2"/>
  <c r="E158" i="2"/>
  <c r="G150" i="2"/>
  <c r="E150" i="2"/>
  <c r="G162" i="2"/>
  <c r="E162" i="2"/>
  <c r="E149" i="2"/>
  <c r="G149" i="2"/>
  <c r="E153" i="2"/>
  <c r="G153" i="2"/>
  <c r="E159" i="2"/>
  <c r="G159" i="2"/>
</calcChain>
</file>

<file path=xl/sharedStrings.xml><?xml version="1.0" encoding="utf-8"?>
<sst xmlns="http://schemas.openxmlformats.org/spreadsheetml/2006/main" count="307" uniqueCount="164">
  <si>
    <t>ORUS</t>
  </si>
  <si>
    <t>DRINKS MENU</t>
  </si>
  <si>
    <t xml:space="preserve">  HOUSE POUR</t>
  </si>
  <si>
    <t>DRINK</t>
  </si>
  <si>
    <t>INGREDIENTS</t>
  </si>
  <si>
    <t>CATEGORY</t>
  </si>
  <si>
    <t xml:space="preserve">  Whisky Highball</t>
  </si>
  <si>
    <t>Damiyo Whisky · Soda · Lemon</t>
  </si>
  <si>
    <t>House Pour</t>
  </si>
  <si>
    <t xml:space="preserve">  Umeshu Spritz</t>
  </si>
  <si>
    <t>Umeshu Whisky · Sparkling Sake / Sparkling Wine</t>
  </si>
  <si>
    <t xml:space="preserve">  Vodka Soda</t>
  </si>
  <si>
    <t>Seara Craft Vodka · Soda · Lime</t>
  </si>
  <si>
    <t xml:space="preserve">  Gin Tonic</t>
  </si>
  <si>
    <t>Okinawa Gin · Tonic · Lime</t>
  </si>
  <si>
    <t xml:space="preserve">  Calamansi Sour</t>
  </si>
  <si>
    <t>Damiyo Whisky · Calamansi Juice · Yuzu</t>
  </si>
  <si>
    <t xml:space="preserve">  Oolong Highball</t>
  </si>
  <si>
    <t>Damiyo Whisky · Oolong Tea</t>
  </si>
  <si>
    <t xml:space="preserve">  White Peach Sour</t>
  </si>
  <si>
    <t>Seara Craft Vodka · Japanese White Peach Liqueur · Lemon</t>
  </si>
  <si>
    <t xml:space="preserve">  Lychee Highball</t>
  </si>
  <si>
    <t>Lychee Liqueur · Seara Craft Vodka · Soda</t>
  </si>
  <si>
    <t xml:space="preserve">  READY TO DRINK</t>
  </si>
  <si>
    <t xml:space="preserve">  Duxton Martini</t>
  </si>
  <si>
    <t>Umeshu Whisky · Coffee Liqueur · Sweet Vermouth / Amaro</t>
  </si>
  <si>
    <t>RTD</t>
  </si>
  <si>
    <t xml:space="preserve">  Orus Negroni</t>
  </si>
  <si>
    <t>Okinawa Gin · Campari · Sweet Vermouth</t>
  </si>
  <si>
    <t xml:space="preserve">  ORUS SIGNATURE — FRUIT SERIES</t>
  </si>
  <si>
    <t xml:space="preserve">  ORUS Peach</t>
  </si>
  <si>
    <t>Shochu · Peach Purée · Soda</t>
  </si>
  <si>
    <t>Signature</t>
  </si>
  <si>
    <t xml:space="preserve">  ORUS Passion</t>
  </si>
  <si>
    <t>Rum · Passion Fruit Purée · Soda</t>
  </si>
  <si>
    <t xml:space="preserve">  ORUS Pink Guava</t>
  </si>
  <si>
    <t>Gin · Pink Guava Purée · Soda</t>
  </si>
  <si>
    <t xml:space="preserve">  ORUS Mango</t>
  </si>
  <si>
    <t>Shochu · Mango Purée · Soda</t>
  </si>
  <si>
    <t xml:space="preserve">  CLASSIC BUILDS</t>
  </si>
  <si>
    <t xml:space="preserve">  Paloma</t>
  </si>
  <si>
    <t>Tequila · Grapefruit Juice · Soda · Salt</t>
  </si>
  <si>
    <t>Classic</t>
  </si>
  <si>
    <t xml:space="preserve">  Salty Dog</t>
  </si>
  <si>
    <t>Seara Craft Vodka · Grapefruit Juice · Salt</t>
  </si>
  <si>
    <t xml:space="preserve">  Gin Rickey</t>
  </si>
  <si>
    <t>Okinawa Gin · Soda · Lime</t>
  </si>
  <si>
    <t>BOTTLE</t>
  </si>
  <si>
    <t>DESCRIPTION</t>
  </si>
  <si>
    <t xml:space="preserve">  Kujira Kyojin Whisky</t>
  </si>
  <si>
    <t>Japanese Single Grain Whisky · Aged in White Oak · 700ml</t>
  </si>
  <si>
    <t>Whisky</t>
  </si>
  <si>
    <t xml:space="preserve">  Okinawa Gin</t>
  </si>
  <si>
    <t>Craft Gin from Okinawa · Botanicals &amp; Citrus Notes · 700ml</t>
  </si>
  <si>
    <t>Gin</t>
  </si>
  <si>
    <t>Premium Mexican Tequila · 100% Blue Agave · 750ml</t>
  </si>
  <si>
    <t>Tequila</t>
  </si>
  <si>
    <t xml:space="preserve">  Seara Japanese Craft Vodka</t>
  </si>
  <si>
    <t>Small-Batch Japanese Vodka · Clean &amp; Smooth · 500ml</t>
  </si>
  <si>
    <t>Vodka</t>
  </si>
  <si>
    <t>ITEM</t>
  </si>
  <si>
    <t>ML</t>
  </si>
  <si>
    <t>$/ml</t>
  </si>
  <si>
    <t>TOTAL COST</t>
  </si>
  <si>
    <t>SELL PRICE</t>
  </si>
  <si>
    <t>MARGIN %</t>
  </si>
  <si>
    <t>GROSS PROFIT</t>
  </si>
  <si>
    <t>ACTUAL MARGIN</t>
  </si>
  <si>
    <t xml:space="preserve">  💡 Edit SELL PRICE (col E) or MARGIN % (col F) — both update automatically</t>
  </si>
  <si>
    <t xml:space="preserve">    Whisky Highball</t>
  </si>
  <si>
    <t xml:space="preserve">      Damiyo Whisky</t>
  </si>
  <si>
    <t xml:space="preserve">      Soda</t>
  </si>
  <si>
    <t xml:space="preserve">      Lemon</t>
  </si>
  <si>
    <t xml:space="preserve">      Ice</t>
  </si>
  <si>
    <t xml:space="preserve">      TOTAL COST</t>
  </si>
  <si>
    <t xml:space="preserve">      Pricing</t>
  </si>
  <si>
    <t xml:space="preserve">    Umeshu Spritz</t>
  </si>
  <si>
    <t xml:space="preserve">      Umeshu Whisky</t>
  </si>
  <si>
    <t xml:space="preserve">      Sparkling Sake/Wine</t>
  </si>
  <si>
    <t xml:space="preserve">    Vodka Soda</t>
  </si>
  <si>
    <t xml:space="preserve">      Seara Craft Vodka</t>
  </si>
  <si>
    <t xml:space="preserve">      Lime</t>
  </si>
  <si>
    <t xml:space="preserve">    Gin Tonic</t>
  </si>
  <si>
    <t xml:space="preserve">      Okinawa Gin</t>
  </si>
  <si>
    <t xml:space="preserve">      Tonic</t>
  </si>
  <si>
    <t xml:space="preserve">    Calamansi Sour</t>
  </si>
  <si>
    <t xml:space="preserve">      Calamansi Juice</t>
  </si>
  <si>
    <t xml:space="preserve">      Yuzu</t>
  </si>
  <si>
    <t xml:space="preserve">    Oolong Highball</t>
  </si>
  <si>
    <t xml:space="preserve">      Oolong Tea</t>
  </si>
  <si>
    <t xml:space="preserve">    White Peach Sour</t>
  </si>
  <si>
    <t xml:space="preserve">      White Peach Liqueur</t>
  </si>
  <si>
    <t xml:space="preserve">      Lemon Juice</t>
  </si>
  <si>
    <t xml:space="preserve">    Lychee Highball</t>
  </si>
  <si>
    <t xml:space="preserve">      Lychee Liqueur</t>
  </si>
  <si>
    <t xml:space="preserve">    ORUS Peach</t>
  </si>
  <si>
    <t xml:space="preserve">      Shochu/Vodka</t>
  </si>
  <si>
    <t xml:space="preserve">      Peach Purée</t>
  </si>
  <si>
    <t xml:space="preserve">      Acid Solution</t>
  </si>
  <si>
    <t xml:space="preserve">    ORUS Passion</t>
  </si>
  <si>
    <t xml:space="preserve">      Rum</t>
  </si>
  <si>
    <t xml:space="preserve">      Passion Fruit Purée</t>
  </si>
  <si>
    <t xml:space="preserve">    ORUS Pink Guava</t>
  </si>
  <si>
    <t xml:space="preserve">      Gin</t>
  </si>
  <si>
    <t xml:space="preserve">      Pink Guava Purée</t>
  </si>
  <si>
    <t xml:space="preserve">    ORUS Mango</t>
  </si>
  <si>
    <t xml:space="preserve">      Mango Purée</t>
  </si>
  <si>
    <t xml:space="preserve">    Duxton Martini</t>
  </si>
  <si>
    <t xml:space="preserve">      Coffee Liqueur</t>
  </si>
  <si>
    <t xml:space="preserve">      Sweet Vermouth/Amaro</t>
  </si>
  <si>
    <t xml:space="preserve">      Mineral Water</t>
  </si>
  <si>
    <t xml:space="preserve">    Orus Negroni</t>
  </si>
  <si>
    <t xml:space="preserve">      Campari</t>
  </si>
  <si>
    <t xml:space="preserve">      Sweet Vermouth</t>
  </si>
  <si>
    <t xml:space="preserve">    Paloma</t>
  </si>
  <si>
    <t xml:space="preserve">      Tequila</t>
  </si>
  <si>
    <t xml:space="preserve">      Grapefruit Juice</t>
  </si>
  <si>
    <t xml:space="preserve">      Salt</t>
  </si>
  <si>
    <t xml:space="preserve">    Salty Dog</t>
  </si>
  <si>
    <t xml:space="preserve">    Gin Rickey</t>
  </si>
  <si>
    <t xml:space="preserve">  PRICING SUMMARY — All Drinks</t>
  </si>
  <si>
    <t>SECTION</t>
  </si>
  <si>
    <t>COST</t>
  </si>
  <si>
    <t>STATUS</t>
  </si>
  <si>
    <t>ORUS — Alcohol Costing Calculator</t>
  </si>
  <si>
    <t xml:space="preserve">  💡 Enter Spirit Name, Bottle Size (ml) and Cost (SGD) in columns A–C. Cost/ml and pour costs calculate automatically.</t>
  </si>
  <si>
    <t>SPIRIT / INGREDIENT</t>
  </si>
  <si>
    <t>BOTTLE (ml)</t>
  </si>
  <si>
    <t>COST (SGD)</t>
  </si>
  <si>
    <t>COST / ml</t>
  </si>
  <si>
    <t>10ml</t>
  </si>
  <si>
    <t>20ml</t>
  </si>
  <si>
    <t>30ml</t>
  </si>
  <si>
    <t>40ml</t>
  </si>
  <si>
    <t>45ml</t>
  </si>
  <si>
    <t>50ml</t>
  </si>
  <si>
    <t>60ml</t>
  </si>
  <si>
    <t>70ml</t>
  </si>
  <si>
    <t>80ml</t>
  </si>
  <si>
    <t>100ml</t>
  </si>
  <si>
    <t>Kujira Inari 40%</t>
  </si>
  <si>
    <t>Akashi Umeshu Whisky</t>
  </si>
  <si>
    <t>Kujira Kyojin 40%</t>
  </si>
  <si>
    <t>Seara Japanese Craft Vodka</t>
  </si>
  <si>
    <t>Damiyo-no-Shinobu Blended Whisky</t>
  </si>
  <si>
    <t>Cincoro Blanco (Tequila)</t>
  </si>
  <si>
    <t>Motel Mezcal</t>
  </si>
  <si>
    <t>Campari</t>
  </si>
  <si>
    <t>Yamanashi White Peach Liqueur</t>
  </si>
  <si>
    <t>Okinawa Gin</t>
  </si>
  <si>
    <t>Sweet Vermouth</t>
  </si>
  <si>
    <t>Kahlúa (Coffee Liqueur)</t>
  </si>
  <si>
    <t>Pokka Oolong Tea</t>
  </si>
  <si>
    <t>Shin Yuzu</t>
  </si>
  <si>
    <t xml:space="preserve">  ＋ Add new spirits below — fill in Name, Bottle ml and Cost</t>
  </si>
  <si>
    <t>ORUS — Bottle Sales</t>
  </si>
  <si>
    <t xml:space="preserve">  💡 Enter your sell price in column D. Margin and profit calculate automatically. Add new bottles anytime in the yellow rows.</t>
  </si>
  <si>
    <t>SPIRIT / BOTTLE</t>
  </si>
  <si>
    <t>COST PRICE</t>
  </si>
  <si>
    <t>SELL PRICE ✏</t>
  </si>
  <si>
    <t>Damiyo-no-Shinobu Blended</t>
  </si>
  <si>
    <t xml:space="preserve">  ＋ Add new bottles below — fill in Name, Bottle ml, Cost Price and Sell Price</t>
  </si>
  <si>
    <t xml:space="preserve">  BOTTLE </t>
  </si>
  <si>
    <t xml:space="preserve">   Blanco Tequila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</si>
</sst>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00"/>
    <numFmt numFmtId="165" formatCode="\$#,##0.00"/>
    <numFmt numFmtId="166" formatCode="0.0%"/>
  </numFmts>
  <fonts count="36">
    <font>
      <sz val="11"/>
      <color theme="1"/>
      <name val="Calibri"/>
      <family val="2"/>
      <charset val="1"/>
    </font>
    <font>
      <b/>
      <sz val="22"/>
      <color rgb="FFC8A96E"/>
      <name val="Arial"/>
      <family val="2"/>
    </font>
    <font>
      <i/>
      <sz val="9"/>
      <color rgb="FF888888"/>
      <name val="Arial"/>
      <family val="2"/>
    </font>
    <font>
      <b/>
      <sz val="10"/>
      <color rgb="FFC8A96E"/>
      <name val="Arial"/>
      <family val="2"/>
    </font>
    <font>
      <b/>
      <sz val="8"/>
      <color rgb="FF888888"/>
      <name val="Arial"/>
      <family val="2"/>
    </font>
    <font>
      <sz val="10"/>
      <color rgb="FFF5F5F0"/>
      <name val="Arial"/>
      <family val="2"/>
    </font>
    <font>
      <sz val="8"/>
      <color rgb="FFC8A96E"/>
      <name val="Arial"/>
      <family val="2"/>
    </font>
    <font>
      <b/>
      <sz val="9"/>
      <color rgb="FFF5F5F0"/>
      <name val="Arial"/>
      <family val="2"/>
    </font>
    <font>
      <b/>
      <sz val="9"/>
      <color rgb="FF1A3A5C"/>
      <name val="Arial"/>
      <family val="2"/>
    </font>
    <font>
      <i/>
      <sz val="8"/>
      <color rgb="FF1A3A5C"/>
      <name val="Arial"/>
      <family val="2"/>
    </font>
    <font>
      <b/>
      <sz val="11"/>
      <color rgb="FF1A5276"/>
      <name val="Arial"/>
      <family val="2"/>
    </font>
    <font>
      <b/>
      <sz val="10"/>
      <color rgb="FF1A1A1A"/>
      <name val="Arial"/>
      <family val="2"/>
    </font>
    <font>
      <sz val="9"/>
      <color rgb="FF555555"/>
      <name val="Arial"/>
      <family val="2"/>
    </font>
    <font>
      <sz val="9"/>
      <color rgb="FF1A1A1A"/>
      <name val="Arial"/>
      <family val="2"/>
    </font>
    <font>
      <b/>
      <sz val="9"/>
      <color rgb="FF1A5276"/>
      <name val="Arial"/>
      <family val="2"/>
    </font>
    <font>
      <b/>
      <sz val="10"/>
      <color rgb="FF1A3A5C"/>
      <name val="Arial"/>
      <family val="2"/>
    </font>
    <font>
      <b/>
      <sz val="10"/>
      <color rgb="FF1E5631"/>
      <name val="Arial"/>
      <family val="2"/>
    </font>
    <font>
      <b/>
      <sz val="9"/>
      <color rgb="FF1E5631"/>
      <name val="Arial"/>
      <family val="2"/>
    </font>
    <font>
      <b/>
      <sz val="11"/>
      <color rgb="FF922B21"/>
      <name val="Arial"/>
      <family val="2"/>
    </font>
    <font>
      <b/>
      <sz val="9"/>
      <color rgb="FF922B21"/>
      <name val="Arial"/>
      <family val="2"/>
    </font>
    <font>
      <b/>
      <sz val="11"/>
      <color rgb="FF7D6608"/>
      <name val="Arial"/>
      <family val="2"/>
    </font>
    <font>
      <b/>
      <sz val="9"/>
      <color rgb="FF7D6608"/>
      <name val="Arial"/>
      <family val="2"/>
    </font>
    <font>
      <b/>
      <sz val="11"/>
      <color rgb="FF1E8449"/>
      <name val="Arial"/>
      <family val="2"/>
    </font>
    <font>
      <b/>
      <sz val="9"/>
      <color rgb="FF1E8449"/>
      <name val="Arial"/>
      <family val="2"/>
    </font>
    <font>
      <b/>
      <sz val="12"/>
      <color rgb="FFF5F5F0"/>
      <name val="Arial"/>
      <family val="2"/>
    </font>
    <font>
      <b/>
      <sz val="9"/>
      <color rgb="FF1A1A1A"/>
      <name val="Arial"/>
      <family val="2"/>
    </font>
    <font>
      <i/>
      <sz val="8"/>
      <color rgb="FF1A5276"/>
      <name val="Arial"/>
      <family val="2"/>
    </font>
    <font>
      <i/>
      <sz val="8"/>
      <color rgb="FF922B21"/>
      <name val="Arial"/>
      <family val="2"/>
    </font>
    <font>
      <i/>
      <sz val="8"/>
      <color rgb="FF7D6608"/>
      <name val="Arial"/>
      <family val="2"/>
    </font>
    <font>
      <i/>
      <sz val="8"/>
      <color rgb="FF1E8449"/>
      <name val="Arial"/>
      <family val="2"/>
    </font>
    <font>
      <b/>
      <sz val="14"/>
      <color rgb="FFC8A96E"/>
      <name val="Arial"/>
      <family val="2"/>
    </font>
    <font>
      <b/>
      <sz val="9"/>
      <color rgb="FFFFF176"/>
      <name val="Arial"/>
      <family val="2"/>
    </font>
    <font>
      <sz val="9"/>
      <color rgb="FF444444"/>
      <name val="Arial"/>
      <family val="2"/>
    </font>
    <font>
      <b/>
      <i/>
      <sz val="8"/>
      <color rgb="FF1E5631"/>
      <name val="Noto Sans CJK SC"/>
      <family val="2"/>
      <charset val="1"/>
    </font>
    <font>
      <b/>
      <sz val="9"/>
      <color rgb="FFAAAAAA"/>
      <name val="Arial"/>
      <family val="2"/>
    </font>
    <font>
      <sz val="9"/>
      <color rgb="FFBBBBBB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11111"/>
        <bgColor rgb="FF1A1A1A"/>
      </patternFill>
    </fill>
    <fill>
      <patternFill patternType="solid">
        <fgColor rgb="FF1E1E1E"/>
        <bgColor rgb="FF1A1A1A"/>
      </patternFill>
    </fill>
    <fill>
      <patternFill patternType="solid">
        <fgColor rgb="FF3D3D3D"/>
        <bgColor rgb="FF3A3A3A"/>
      </patternFill>
    </fill>
    <fill>
      <patternFill patternType="solid">
        <fgColor rgb="FF242424"/>
        <bgColor rgb="FF1E1E1E"/>
      </patternFill>
    </fill>
    <fill>
      <patternFill patternType="solid">
        <fgColor rgb="FF2A2A2A"/>
        <bgColor rgb="FF2C2C2C"/>
      </patternFill>
    </fill>
    <fill>
      <patternFill patternType="solid">
        <fgColor rgb="FF2C2C2C"/>
        <bgColor rgb="FF2A2A2A"/>
      </patternFill>
    </fill>
    <fill>
      <patternFill patternType="solid">
        <fgColor rgb="FFFFF176"/>
        <bgColor rgb="FFFFF9C4"/>
      </patternFill>
    </fill>
    <fill>
      <patternFill patternType="solid">
        <fgColor rgb="FFFFFDE7"/>
        <bgColor rgb="FFFEF9E7"/>
      </patternFill>
    </fill>
    <fill>
      <patternFill patternType="solid">
        <fgColor rgb="FFE8F4F8"/>
        <bgColor rgb="FFEAFAF1"/>
      </patternFill>
    </fill>
    <fill>
      <patternFill patternType="solid">
        <fgColor rgb="FFF0F0F0"/>
        <bgColor rgb="FFEEEEEE"/>
      </patternFill>
    </fill>
    <fill>
      <patternFill patternType="solid">
        <fgColor rgb="FFFFFFFF"/>
        <bgColor rgb="FFFAFAFA"/>
      </patternFill>
    </fill>
    <fill>
      <patternFill patternType="solid">
        <fgColor rgb="FFF5F5F5"/>
        <bgColor rgb="FFF5F5F0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FAFA"/>
        <bgColor rgb="FFFFFFFF"/>
      </patternFill>
    </fill>
    <fill>
      <patternFill patternType="solid">
        <fgColor rgb="FFF9EBEA"/>
        <bgColor rgb="FFF0F0F0"/>
      </patternFill>
    </fill>
    <fill>
      <patternFill patternType="solid">
        <fgColor rgb="FFFEF9E7"/>
        <bgColor rgb="FFFFF8E7"/>
      </patternFill>
    </fill>
    <fill>
      <patternFill patternType="solid">
        <fgColor rgb="FFEAFAF1"/>
        <bgColor rgb="FFE8F4F8"/>
      </patternFill>
    </fill>
    <fill>
      <patternFill patternType="solid">
        <fgColor rgb="FF1A1A2E"/>
        <bgColor rgb="FF1E1E1E"/>
      </patternFill>
    </fill>
    <fill>
      <patternFill patternType="solid">
        <fgColor rgb="FFFFF9C4"/>
        <bgColor rgb="FFFEF9E7"/>
      </patternFill>
    </fill>
    <fill>
      <patternFill patternType="solid">
        <fgColor rgb="FF2C3E50"/>
        <bgColor rgb="FF3A3A3A"/>
      </patternFill>
    </fill>
    <fill>
      <patternFill patternType="solid">
        <fgColor rgb="FFFFF8E7"/>
        <bgColor rgb="FFFEF9E7"/>
      </patternFill>
    </fill>
  </fills>
  <borders count="15">
    <border>
      <left/>
      <right/>
      <top/>
      <bottom/>
      <diagonal/>
    </border>
    <border>
      <left/>
      <right/>
      <top/>
      <bottom style="thin">
        <color rgb="FFC8A96E"/>
      </bottom>
      <diagonal/>
    </border>
    <border>
      <left/>
      <right/>
      <top/>
      <bottom style="thin">
        <color rgb="FF3A3A3A"/>
      </bottom>
      <diagonal/>
    </border>
    <border>
      <left/>
      <right/>
      <top/>
      <bottom style="medium">
        <color rgb="FF1A5276"/>
      </bottom>
      <diagonal/>
    </border>
    <border>
      <left/>
      <right/>
      <top/>
      <bottom style="thin">
        <color rgb="FFAAAAAA"/>
      </bottom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/>
      <right/>
      <top/>
      <bottom style="medium">
        <color rgb="FF922B21"/>
      </bottom>
      <diagonal/>
    </border>
    <border>
      <left/>
      <right/>
      <top/>
      <bottom style="medium">
        <color rgb="FF7D6608"/>
      </bottom>
      <diagonal/>
    </border>
    <border>
      <left/>
      <right/>
      <top/>
      <bottom style="medium">
        <color rgb="FF1E8449"/>
      </bottom>
      <diagonal/>
    </border>
    <border>
      <left/>
      <right/>
      <top/>
      <bottom style="medium">
        <color rgb="FFC8A96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dashed">
        <color rgb="FFBBDDBB"/>
      </left>
      <right style="dashed">
        <color rgb="FFBBDDBB"/>
      </right>
      <top style="dashed">
        <color rgb="FFBBDDBB"/>
      </top>
      <bottom style="dashed">
        <color rgb="FFBBDDBB"/>
      </bottom>
      <diagonal/>
    </border>
    <border>
      <left style="dashed">
        <color rgb="FFEEEEEE"/>
      </left>
      <right style="dashed">
        <color rgb="FFEEEEEE"/>
      </right>
      <top style="dashed">
        <color rgb="FFEEEEEE"/>
      </top>
      <bottom style="dashed">
        <color rgb="FFEEEEEE"/>
      </bottom>
      <diagonal/>
    </border>
    <border>
      <left style="dashed">
        <color rgb="FFCCCCCC"/>
      </left>
      <right style="dashed">
        <color rgb="FFCCCCCC"/>
      </right>
      <top style="dashed">
        <color rgb="FFCCCCCC"/>
      </top>
      <bottom style="dashed">
        <color rgb="FFCCCCCC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3" fillId="19" borderId="0" xfId="0" applyFont="1" applyFill="1" applyAlignment="1">
      <alignment horizontal="left" vertical="center"/>
    </xf>
    <xf numFmtId="0" fontId="9" fillId="9" borderId="0" xfId="0" applyFont="1" applyFill="1"/>
    <xf numFmtId="0" fontId="30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3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7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9" fillId="9" borderId="0" xfId="0" applyFont="1" applyFill="1"/>
    <xf numFmtId="0" fontId="0" fillId="9" borderId="0" xfId="0" applyFill="1"/>
    <xf numFmtId="0" fontId="10" fillId="10" borderId="3" xfId="0" applyFont="1" applyFill="1" applyBorder="1" applyAlignment="1">
      <alignment horizontal="left" vertical="center"/>
    </xf>
    <xf numFmtId="0" fontId="0" fillId="10" borderId="3" xfId="0" applyFill="1" applyBorder="1"/>
    <xf numFmtId="0" fontId="11" fillId="11" borderId="4" xfId="0" applyFont="1" applyFill="1" applyBorder="1" applyAlignment="1">
      <alignment horizontal="left" vertical="center"/>
    </xf>
    <xf numFmtId="0" fontId="0" fillId="11" borderId="4" xfId="0" applyFill="1" applyBorder="1"/>
    <xf numFmtId="0" fontId="12" fillId="12" borderId="0" xfId="0" applyFont="1" applyFill="1" applyAlignment="1">
      <alignment horizontal="left" vertical="center"/>
    </xf>
    <xf numFmtId="0" fontId="12" fillId="12" borderId="0" xfId="0" applyFont="1" applyFill="1" applyAlignment="1">
      <alignment horizontal="center" vertical="center"/>
    </xf>
    <xf numFmtId="164" fontId="12" fillId="12" borderId="0" xfId="0" applyNumberFormat="1" applyFont="1" applyFill="1" applyAlignment="1">
      <alignment horizontal="center" vertical="center"/>
    </xf>
    <xf numFmtId="165" fontId="13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12" fillId="13" borderId="0" xfId="0" applyFont="1" applyFill="1" applyAlignment="1">
      <alignment horizontal="left" vertical="center"/>
    </xf>
    <xf numFmtId="0" fontId="12" fillId="13" borderId="0" xfId="0" applyFont="1" applyFill="1" applyAlignment="1">
      <alignment horizontal="center" vertical="center"/>
    </xf>
    <xf numFmtId="164" fontId="12" fillId="13" borderId="0" xfId="0" applyNumberFormat="1" applyFont="1" applyFill="1" applyAlignment="1">
      <alignment horizontal="center" vertical="center"/>
    </xf>
    <xf numFmtId="165" fontId="13" fillId="13" borderId="0" xfId="0" applyNumberFormat="1" applyFont="1" applyFill="1" applyAlignment="1">
      <alignment horizontal="center" vertical="center"/>
    </xf>
    <xf numFmtId="0" fontId="0" fillId="13" borderId="0" xfId="0" applyFill="1"/>
    <xf numFmtId="0" fontId="14" fillId="10" borderId="0" xfId="0" applyFont="1" applyFill="1" applyAlignment="1">
      <alignment horizontal="left" vertical="center"/>
    </xf>
    <xf numFmtId="0" fontId="0" fillId="10" borderId="0" xfId="0" applyFill="1"/>
    <xf numFmtId="165" fontId="14" fillId="10" borderId="0" xfId="0" applyNumberFormat="1" applyFont="1" applyFill="1" applyAlignment="1">
      <alignment horizontal="center" vertical="center"/>
    </xf>
    <xf numFmtId="0" fontId="8" fillId="14" borderId="0" xfId="0" applyFont="1" applyFill="1" applyAlignment="1">
      <alignment horizontal="left" vertical="center"/>
    </xf>
    <xf numFmtId="0" fontId="0" fillId="14" borderId="0" xfId="0" applyFill="1"/>
    <xf numFmtId="165" fontId="2" fillId="14" borderId="0" xfId="0" applyNumberFormat="1" applyFont="1" applyFill="1" applyAlignment="1">
      <alignment horizontal="center" vertical="center"/>
    </xf>
    <xf numFmtId="165" fontId="15" fillId="8" borderId="5" xfId="0" applyNumberFormat="1" applyFont="1" applyFill="1" applyBorder="1" applyAlignment="1">
      <alignment horizontal="center" vertical="center"/>
    </xf>
    <xf numFmtId="166" fontId="16" fillId="15" borderId="0" xfId="0" applyNumberFormat="1" applyFont="1" applyFill="1" applyAlignment="1">
      <alignment horizontal="center" vertical="center"/>
    </xf>
    <xf numFmtId="165" fontId="17" fillId="15" borderId="0" xfId="0" applyNumberFormat="1" applyFont="1" applyFill="1" applyAlignment="1">
      <alignment horizontal="center" vertical="center"/>
    </xf>
    <xf numFmtId="166" fontId="17" fillId="15" borderId="0" xfId="0" applyNumberFormat="1" applyFont="1" applyFill="1" applyAlignment="1">
      <alignment horizontal="center" vertical="center"/>
    </xf>
    <xf numFmtId="0" fontId="0" fillId="16" borderId="0" xfId="0" applyFill="1"/>
    <xf numFmtId="0" fontId="18" fillId="17" borderId="6" xfId="0" applyFont="1" applyFill="1" applyBorder="1" applyAlignment="1">
      <alignment horizontal="left" vertical="center"/>
    </xf>
    <xf numFmtId="0" fontId="0" fillId="17" borderId="6" xfId="0" applyFill="1" applyBorder="1"/>
    <xf numFmtId="0" fontId="19" fillId="17" borderId="0" xfId="0" applyFont="1" applyFill="1" applyAlignment="1">
      <alignment horizontal="left" vertical="center"/>
    </xf>
    <xf numFmtId="0" fontId="0" fillId="17" borderId="0" xfId="0" applyFill="1"/>
    <xf numFmtId="165" fontId="19" fillId="17" borderId="0" xfId="0" applyNumberFormat="1" applyFont="1" applyFill="1" applyAlignment="1">
      <alignment horizontal="center" vertical="center"/>
    </xf>
    <xf numFmtId="0" fontId="20" fillId="18" borderId="7" xfId="0" applyFont="1" applyFill="1" applyBorder="1" applyAlignment="1">
      <alignment horizontal="left" vertical="center"/>
    </xf>
    <xf numFmtId="0" fontId="0" fillId="18" borderId="7" xfId="0" applyFill="1" applyBorder="1"/>
    <xf numFmtId="0" fontId="21" fillId="18" borderId="0" xfId="0" applyFont="1" applyFill="1" applyAlignment="1">
      <alignment horizontal="left" vertical="center"/>
    </xf>
    <xf numFmtId="0" fontId="0" fillId="18" borderId="0" xfId="0" applyFill="1"/>
    <xf numFmtId="165" fontId="21" fillId="18" borderId="0" xfId="0" applyNumberFormat="1" applyFont="1" applyFill="1" applyAlignment="1">
      <alignment horizontal="center" vertical="center"/>
    </xf>
    <xf numFmtId="0" fontId="22" fillId="19" borderId="8" xfId="0" applyFont="1" applyFill="1" applyBorder="1" applyAlignment="1">
      <alignment horizontal="left" vertical="center"/>
    </xf>
    <xf numFmtId="0" fontId="0" fillId="19" borderId="8" xfId="0" applyFill="1" applyBorder="1"/>
    <xf numFmtId="0" fontId="23" fillId="19" borderId="0" xfId="0" applyFont="1" applyFill="1" applyAlignment="1">
      <alignment horizontal="left" vertical="center"/>
    </xf>
    <xf numFmtId="0" fontId="0" fillId="19" borderId="0" xfId="0" applyFill="1"/>
    <xf numFmtId="165" fontId="23" fillId="19" borderId="0" xfId="0" applyNumberFormat="1" applyFont="1" applyFill="1" applyAlignment="1">
      <alignment horizontal="center" vertical="center"/>
    </xf>
    <xf numFmtId="0" fontId="24" fillId="20" borderId="0" xfId="0" applyFont="1" applyFill="1" applyAlignment="1">
      <alignment horizontal="left" vertical="center"/>
    </xf>
    <xf numFmtId="0" fontId="0" fillId="20" borderId="0" xfId="0" applyFill="1"/>
    <xf numFmtId="0" fontId="7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left" vertical="center"/>
    </xf>
    <xf numFmtId="0" fontId="26" fillId="10" borderId="0" xfId="0" applyFont="1" applyFill="1" applyAlignment="1">
      <alignment horizontal="left" vertical="center"/>
    </xf>
    <xf numFmtId="165" fontId="12" fillId="12" borderId="0" xfId="0" applyNumberFormat="1" applyFont="1" applyFill="1" applyAlignment="1">
      <alignment horizontal="center" vertical="center"/>
    </xf>
    <xf numFmtId="165" fontId="8" fillId="21" borderId="0" xfId="0" applyNumberFormat="1" applyFont="1" applyFill="1" applyAlignment="1">
      <alignment horizontal="center" vertical="center"/>
    </xf>
    <xf numFmtId="166" fontId="17" fillId="12" borderId="0" xfId="0" applyNumberFormat="1" applyFont="1" applyFill="1" applyAlignment="1">
      <alignment horizontal="center" vertical="center"/>
    </xf>
    <xf numFmtId="165" fontId="17" fillId="12" borderId="0" xfId="0" applyNumberFormat="1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25" fillId="13" borderId="0" xfId="0" applyFont="1" applyFill="1" applyAlignment="1">
      <alignment horizontal="left" vertical="center"/>
    </xf>
    <xf numFmtId="165" fontId="12" fillId="13" borderId="0" xfId="0" applyNumberFormat="1" applyFont="1" applyFill="1" applyAlignment="1">
      <alignment horizontal="center" vertical="center"/>
    </xf>
    <xf numFmtId="166" fontId="17" fillId="13" borderId="0" xfId="0" applyNumberFormat="1" applyFont="1" applyFill="1" applyAlignment="1">
      <alignment horizontal="center" vertical="center"/>
    </xf>
    <xf numFmtId="165" fontId="17" fillId="13" borderId="0" xfId="0" applyNumberFormat="1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27" fillId="17" borderId="0" xfId="0" applyFont="1" applyFill="1" applyAlignment="1">
      <alignment horizontal="left" vertical="center"/>
    </xf>
    <xf numFmtId="0" fontId="28" fillId="18" borderId="0" xfId="0" applyFont="1" applyFill="1" applyAlignment="1">
      <alignment horizontal="left" vertical="center"/>
    </xf>
    <xf numFmtId="0" fontId="29" fillId="19" borderId="0" xfId="0" applyFont="1" applyFill="1" applyAlignment="1">
      <alignment horizontal="left" vertical="center"/>
    </xf>
    <xf numFmtId="0" fontId="31" fillId="22" borderId="9" xfId="0" applyFont="1" applyFill="1" applyBorder="1" applyAlignment="1">
      <alignment horizontal="left" vertical="center"/>
    </xf>
    <xf numFmtId="0" fontId="31" fillId="22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25" fillId="12" borderId="10" xfId="0" applyFont="1" applyFill="1" applyBorder="1" applyAlignment="1">
      <alignment horizontal="left" vertical="center"/>
    </xf>
    <xf numFmtId="3" fontId="12" fillId="12" borderId="10" xfId="0" applyNumberFormat="1" applyFont="1" applyFill="1" applyBorder="1" applyAlignment="1">
      <alignment horizontal="center" vertical="center"/>
    </xf>
    <xf numFmtId="165" fontId="12" fillId="12" borderId="10" xfId="0" applyNumberFormat="1" applyFont="1" applyFill="1" applyBorder="1" applyAlignment="1">
      <alignment horizontal="center" vertical="center"/>
    </xf>
    <xf numFmtId="164" fontId="14" fillId="23" borderId="10" xfId="0" applyNumberFormat="1" applyFont="1" applyFill="1" applyBorder="1" applyAlignment="1">
      <alignment horizontal="center" vertical="center"/>
    </xf>
    <xf numFmtId="165" fontId="32" fillId="12" borderId="11" xfId="0" applyNumberFormat="1" applyFont="1" applyFill="1" applyBorder="1" applyAlignment="1">
      <alignment horizontal="center" vertical="center"/>
    </xf>
    <xf numFmtId="0" fontId="25" fillId="13" borderId="10" xfId="0" applyFont="1" applyFill="1" applyBorder="1" applyAlignment="1">
      <alignment horizontal="left" vertical="center"/>
    </xf>
    <xf numFmtId="3" fontId="12" fillId="13" borderId="10" xfId="0" applyNumberFormat="1" applyFont="1" applyFill="1" applyBorder="1" applyAlignment="1">
      <alignment horizontal="center" vertical="center"/>
    </xf>
    <xf numFmtId="165" fontId="12" fillId="13" borderId="10" xfId="0" applyNumberFormat="1" applyFont="1" applyFill="1" applyBorder="1" applyAlignment="1">
      <alignment horizontal="center" vertical="center"/>
    </xf>
    <xf numFmtId="165" fontId="32" fillId="13" borderId="11" xfId="0" applyNumberFormat="1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left" vertical="center"/>
    </xf>
    <xf numFmtId="3" fontId="12" fillId="8" borderId="12" xfId="0" applyNumberFormat="1" applyFont="1" applyFill="1" applyBorder="1" applyAlignment="1">
      <alignment horizontal="center" vertical="center"/>
    </xf>
    <xf numFmtId="165" fontId="12" fillId="8" borderId="12" xfId="0" applyNumberFormat="1" applyFont="1" applyFill="1" applyBorder="1" applyAlignment="1">
      <alignment horizontal="center" vertical="center"/>
    </xf>
    <xf numFmtId="164" fontId="34" fillId="16" borderId="10" xfId="0" applyNumberFormat="1" applyFont="1" applyFill="1" applyBorder="1" applyAlignment="1">
      <alignment horizontal="center" vertical="center"/>
    </xf>
    <xf numFmtId="165" fontId="35" fillId="16" borderId="13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left" vertical="center"/>
    </xf>
    <xf numFmtId="0" fontId="12" fillId="8" borderId="14" xfId="0" applyFont="1" applyFill="1" applyBorder="1" applyAlignment="1">
      <alignment horizontal="left" vertical="center"/>
    </xf>
    <xf numFmtId="3" fontId="12" fillId="8" borderId="14" xfId="0" applyNumberFormat="1" applyFont="1" applyFill="1" applyBorder="1" applyAlignment="1">
      <alignment horizontal="center" vertical="center"/>
    </xf>
    <xf numFmtId="165" fontId="12" fillId="8" borderId="14" xfId="0" applyNumberFormat="1" applyFont="1" applyFill="1" applyBorder="1" applyAlignment="1">
      <alignment horizontal="center" vertical="center"/>
    </xf>
    <xf numFmtId="165" fontId="34" fillId="16" borderId="0" xfId="0" applyNumberFormat="1" applyFont="1" applyFill="1" applyAlignment="1">
      <alignment horizontal="center" vertical="center"/>
    </xf>
    <xf numFmtId="166" fontId="34" fillId="16" borderId="0" xfId="0" applyNumberFormat="1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FAFAFA"/>
      <rgbColor rgb="FF1A1A1A"/>
      <rgbColor rgb="FF1E5631"/>
      <rgbColor rgb="FF1A1A2E"/>
      <rgbColor rgb="FF7D6608"/>
      <rgbColor rgb="FF800080"/>
      <rgbColor rgb="FF008080"/>
      <rgbColor rgb="FFBBBBBB"/>
      <rgbColor rgb="FF888888"/>
      <rgbColor rgb="FFF0F0F0"/>
      <rgbColor rgb="FF444444"/>
      <rgbColor rgb="FFFFF9C4"/>
      <rgbColor rgb="FFD6EAF8"/>
      <rgbColor rgb="FF242424"/>
      <rgbColor rgb="FFC8A96E"/>
      <rgbColor rgb="FF1A5276"/>
      <rgbColor rgb="FFCCCCCC"/>
      <rgbColor rgb="FF111111"/>
      <rgbColor rgb="FFFF00FF"/>
      <rgbColor rgb="FFFEF9E7"/>
      <rgbColor rgb="FF00FFFF"/>
      <rgbColor rgb="FF800080"/>
      <rgbColor rgb="FF3A3A3A"/>
      <rgbColor rgb="FF008080"/>
      <rgbColor rgb="FF0000FF"/>
      <rgbColor rgb="FF00CCFF"/>
      <rgbColor rgb="FFEAFAF1"/>
      <rgbColor rgb="FFD5F5E3"/>
      <rgbColor rgb="FFFFF176"/>
      <rgbColor rgb="FFBBDDBB"/>
      <rgbColor rgb="FFF9EBEA"/>
      <rgbColor rgb="FFEEEEEE"/>
      <rgbColor rgb="FFDDDDDD"/>
      <rgbColor rgb="FF3366FF"/>
      <rgbColor rgb="FFF5F5F5"/>
      <rgbColor rgb="FFE8F4F8"/>
      <rgbColor rgb="FFFFF8E7"/>
      <rgbColor rgb="FFF5F5F0"/>
      <rgbColor rgb="FFFF6600"/>
      <rgbColor rgb="FF555555"/>
      <rgbColor rgb="FFAAAAAA"/>
      <rgbColor rgb="FF1A3A5C"/>
      <rgbColor rgb="FF1E8449"/>
      <rgbColor rgb="FF1E1E1E"/>
      <rgbColor rgb="FF2A2A2A"/>
      <rgbColor rgb="FF922B21"/>
      <rgbColor rgb="FF3D3D3D"/>
      <rgbColor rgb="FF2C3E50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96E"/>
  </sheetPr>
  <dimension ref="A1:C40"/>
  <sheetViews>
    <sheetView showGridLines="0" tabSelected="1" zoomScale="139" zoomScaleNormal="100" workbookViewId="0">
      <selection activeCell="C51" sqref="C51"/>
    </sheetView>
  </sheetViews>
  <sheetFormatPr baseColWidth="10" defaultColWidth="8.6640625" defaultRowHeight="15"/>
  <cols>
    <col min="1" max="1" width="26" customWidth="1"/>
    <col min="2" max="2" width="52" customWidth="1"/>
    <col min="3" max="3" width="14" customWidth="1"/>
  </cols>
  <sheetData>
    <row r="1" spans="1:3" ht="39.75" customHeight="1">
      <c r="A1" s="7" t="s">
        <v>0</v>
      </c>
      <c r="B1" s="7"/>
      <c r="C1" s="7"/>
    </row>
    <row r="2" spans="1:3" ht="18" customHeight="1">
      <c r="A2" s="6" t="s">
        <v>1</v>
      </c>
      <c r="B2" s="6"/>
      <c r="C2" s="6"/>
    </row>
    <row r="3" spans="1:3" ht="7.5" customHeight="1">
      <c r="A3" s="5"/>
      <c r="B3" s="5"/>
      <c r="C3" s="5"/>
    </row>
    <row r="4" spans="1:3" ht="21.75" customHeight="1">
      <c r="A4" s="4" t="s">
        <v>2</v>
      </c>
      <c r="B4" s="4"/>
      <c r="C4" s="4"/>
    </row>
    <row r="5" spans="1:3" ht="15.75" customHeight="1">
      <c r="A5" s="10" t="s">
        <v>3</v>
      </c>
      <c r="B5" s="10" t="s">
        <v>4</v>
      </c>
      <c r="C5" s="11" t="s">
        <v>5</v>
      </c>
    </row>
    <row r="6" spans="1:3" ht="19.5" customHeight="1">
      <c r="A6" s="12" t="s">
        <v>6</v>
      </c>
      <c r="B6" s="13" t="s">
        <v>7</v>
      </c>
      <c r="C6" s="14" t="s">
        <v>8</v>
      </c>
    </row>
    <row r="7" spans="1:3" ht="19.5" customHeight="1">
      <c r="A7" s="15" t="s">
        <v>9</v>
      </c>
      <c r="B7" s="16" t="s">
        <v>10</v>
      </c>
      <c r="C7" s="17" t="s">
        <v>8</v>
      </c>
    </row>
    <row r="8" spans="1:3" ht="19.5" customHeight="1">
      <c r="A8" s="12" t="s">
        <v>11</v>
      </c>
      <c r="B8" s="13" t="s">
        <v>12</v>
      </c>
      <c r="C8" s="14" t="s">
        <v>8</v>
      </c>
    </row>
    <row r="9" spans="1:3" ht="19.5" customHeight="1">
      <c r="A9" s="15" t="s">
        <v>13</v>
      </c>
      <c r="B9" s="16" t="s">
        <v>14</v>
      </c>
      <c r="C9" s="17" t="s">
        <v>8</v>
      </c>
    </row>
    <row r="10" spans="1:3" ht="19.5" customHeight="1">
      <c r="A10" s="12" t="s">
        <v>15</v>
      </c>
      <c r="B10" s="13" t="s">
        <v>16</v>
      </c>
      <c r="C10" s="14" t="s">
        <v>8</v>
      </c>
    </row>
    <row r="11" spans="1:3" ht="19.5" customHeight="1">
      <c r="A11" s="15" t="s">
        <v>17</v>
      </c>
      <c r="B11" s="16" t="s">
        <v>18</v>
      </c>
      <c r="C11" s="17" t="s">
        <v>8</v>
      </c>
    </row>
    <row r="12" spans="1:3" ht="19.5" customHeight="1">
      <c r="A12" s="12" t="s">
        <v>19</v>
      </c>
      <c r="B12" s="13" t="s">
        <v>20</v>
      </c>
      <c r="C12" s="14" t="s">
        <v>8</v>
      </c>
    </row>
    <row r="13" spans="1:3" ht="19.5" customHeight="1">
      <c r="A13" s="15" t="s">
        <v>21</v>
      </c>
      <c r="B13" s="16" t="s">
        <v>22</v>
      </c>
      <c r="C13" s="17" t="s">
        <v>8</v>
      </c>
    </row>
    <row r="14" spans="1:3" ht="6" customHeight="1">
      <c r="A14" s="5"/>
      <c r="B14" s="5"/>
      <c r="C14" s="5"/>
    </row>
    <row r="15" spans="1:3" ht="21.75" customHeight="1">
      <c r="A15" s="4" t="s">
        <v>23</v>
      </c>
      <c r="B15" s="4"/>
      <c r="C15" s="4"/>
    </row>
    <row r="16" spans="1:3" ht="15.75" customHeight="1">
      <c r="A16" s="10" t="s">
        <v>3</v>
      </c>
      <c r="B16" s="10" t="s">
        <v>4</v>
      </c>
      <c r="C16" s="11" t="s">
        <v>5</v>
      </c>
    </row>
    <row r="17" spans="1:3" ht="19.5" customHeight="1">
      <c r="A17" s="12" t="s">
        <v>24</v>
      </c>
      <c r="B17" s="13" t="s">
        <v>25</v>
      </c>
      <c r="C17" s="14" t="s">
        <v>26</v>
      </c>
    </row>
    <row r="18" spans="1:3" ht="19.5" customHeight="1">
      <c r="A18" s="15" t="s">
        <v>27</v>
      </c>
      <c r="B18" s="16" t="s">
        <v>28</v>
      </c>
      <c r="C18" s="17" t="s">
        <v>26</v>
      </c>
    </row>
    <row r="19" spans="1:3" ht="6" customHeight="1">
      <c r="A19" s="5"/>
      <c r="B19" s="5"/>
      <c r="C19" s="5"/>
    </row>
    <row r="20" spans="1:3" ht="21.75" customHeight="1">
      <c r="A20" s="4" t="s">
        <v>29</v>
      </c>
      <c r="B20" s="4"/>
      <c r="C20" s="4"/>
    </row>
    <row r="21" spans="1:3" ht="15.75" customHeight="1">
      <c r="A21" s="10" t="s">
        <v>3</v>
      </c>
      <c r="B21" s="10" t="s">
        <v>4</v>
      </c>
      <c r="C21" s="11" t="s">
        <v>5</v>
      </c>
    </row>
    <row r="22" spans="1:3" ht="19.5" customHeight="1">
      <c r="A22" s="12" t="s">
        <v>30</v>
      </c>
      <c r="B22" s="13" t="s">
        <v>31</v>
      </c>
      <c r="C22" s="14" t="s">
        <v>32</v>
      </c>
    </row>
    <row r="23" spans="1:3" ht="19.5" customHeight="1">
      <c r="A23" s="15" t="s">
        <v>33</v>
      </c>
      <c r="B23" s="16" t="s">
        <v>34</v>
      </c>
      <c r="C23" s="17" t="s">
        <v>32</v>
      </c>
    </row>
    <row r="24" spans="1:3" ht="19.5" customHeight="1">
      <c r="A24" s="12" t="s">
        <v>35</v>
      </c>
      <c r="B24" s="13" t="s">
        <v>36</v>
      </c>
      <c r="C24" s="14" t="s">
        <v>32</v>
      </c>
    </row>
    <row r="25" spans="1:3" ht="19.5" customHeight="1">
      <c r="A25" s="15" t="s">
        <v>37</v>
      </c>
      <c r="B25" s="16" t="s">
        <v>38</v>
      </c>
      <c r="C25" s="17" t="s">
        <v>32</v>
      </c>
    </row>
    <row r="26" spans="1:3" ht="6" customHeight="1">
      <c r="A26" s="5"/>
      <c r="B26" s="5"/>
      <c r="C26" s="5"/>
    </row>
    <row r="27" spans="1:3" ht="21.75" customHeight="1">
      <c r="A27" s="4" t="s">
        <v>39</v>
      </c>
      <c r="B27" s="4"/>
      <c r="C27" s="4"/>
    </row>
    <row r="28" spans="1:3" ht="15.75" customHeight="1">
      <c r="A28" s="10" t="s">
        <v>3</v>
      </c>
      <c r="B28" s="10" t="s">
        <v>4</v>
      </c>
      <c r="C28" s="11" t="s">
        <v>5</v>
      </c>
    </row>
    <row r="29" spans="1:3" ht="19.5" customHeight="1">
      <c r="A29" s="12" t="s">
        <v>40</v>
      </c>
      <c r="B29" s="13" t="s">
        <v>41</v>
      </c>
      <c r="C29" s="14" t="s">
        <v>42</v>
      </c>
    </row>
    <row r="30" spans="1:3" ht="19.5" customHeight="1">
      <c r="A30" s="15" t="s">
        <v>43</v>
      </c>
      <c r="B30" s="16" t="s">
        <v>44</v>
      </c>
      <c r="C30" s="17" t="s">
        <v>42</v>
      </c>
    </row>
    <row r="31" spans="1:3" ht="19.5" customHeight="1">
      <c r="A31" s="12" t="s">
        <v>45</v>
      </c>
      <c r="B31" s="13" t="s">
        <v>46</v>
      </c>
      <c r="C31" s="14" t="s">
        <v>42</v>
      </c>
    </row>
    <row r="32" spans="1:3" ht="6" customHeight="1">
      <c r="A32" s="5"/>
      <c r="B32" s="5"/>
      <c r="C32" s="5"/>
    </row>
    <row r="33" spans="1:3" ht="6" customHeight="1">
      <c r="A33" s="8"/>
      <c r="B33" s="8"/>
      <c r="C33" s="8"/>
    </row>
    <row r="34" spans="1:3" ht="21.75" customHeight="1">
      <c r="A34" s="9" t="s">
        <v>162</v>
      </c>
      <c r="B34" s="18"/>
      <c r="C34" s="18"/>
    </row>
    <row r="35" spans="1:3" ht="15.75" customHeight="1">
      <c r="A35" s="10" t="s">
        <v>47</v>
      </c>
      <c r="B35" s="10" t="s">
        <v>48</v>
      </c>
      <c r="C35" s="11" t="s">
        <v>5</v>
      </c>
    </row>
    <row r="36" spans="1:3" ht="19.5" customHeight="1">
      <c r="A36" s="12" t="s">
        <v>49</v>
      </c>
      <c r="B36" s="13" t="s">
        <v>50</v>
      </c>
      <c r="C36" s="14" t="s">
        <v>51</v>
      </c>
    </row>
    <row r="37" spans="1:3" ht="19.5" customHeight="1">
      <c r="A37" s="15" t="s">
        <v>52</v>
      </c>
      <c r="B37" s="16" t="s">
        <v>53</v>
      </c>
      <c r="C37" s="17" t="s">
        <v>54</v>
      </c>
    </row>
    <row r="38" spans="1:3" ht="19.5" customHeight="1">
      <c r="A38" s="12" t="s">
        <v>163</v>
      </c>
      <c r="B38" s="13" t="s">
        <v>55</v>
      </c>
      <c r="C38" s="14" t="s">
        <v>56</v>
      </c>
    </row>
    <row r="39" spans="1:3" ht="19.5" customHeight="1">
      <c r="A39" s="15" t="s">
        <v>57</v>
      </c>
      <c r="B39" s="16" t="s">
        <v>58</v>
      </c>
      <c r="C39" s="17" t="s">
        <v>59</v>
      </c>
    </row>
    <row r="40" spans="1:3" ht="6" customHeight="1">
      <c r="A40" s="8"/>
      <c r="B40" s="8"/>
      <c r="C40" s="8"/>
    </row>
  </sheetData>
  <mergeCells count="11">
    <mergeCell ref="A32:C32"/>
    <mergeCell ref="A15:C15"/>
    <mergeCell ref="A19:C19"/>
    <mergeCell ref="A20:C20"/>
    <mergeCell ref="A26:C26"/>
    <mergeCell ref="A27:C27"/>
    <mergeCell ref="A1:C1"/>
    <mergeCell ref="A2:C2"/>
    <mergeCell ref="A3:C3"/>
    <mergeCell ref="A4:C4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A96E"/>
  </sheetPr>
  <dimension ref="A1:H163"/>
  <sheetViews>
    <sheetView showGridLines="0" zoomScale="134" zoomScaleNormal="100" workbookViewId="0">
      <pane xSplit="1" ySplit="2" topLeftCell="B93" activePane="bottomRight" state="frozen"/>
      <selection pane="topRight" activeCell="B1" sqref="B1"/>
      <selection pane="bottomLeft" activeCell="A3" sqref="A3"/>
      <selection pane="bottomRight" activeCell="D108" sqref="D108"/>
    </sheetView>
  </sheetViews>
  <sheetFormatPr baseColWidth="10" defaultColWidth="8.6640625" defaultRowHeight="15"/>
  <cols>
    <col min="1" max="1" width="28" customWidth="1"/>
    <col min="2" max="2" width="9" customWidth="1"/>
    <col min="3" max="3" width="11" customWidth="1"/>
    <col min="4" max="4" width="12" customWidth="1"/>
    <col min="5" max="5" width="14" customWidth="1"/>
    <col min="6" max="6" width="15" customWidth="1"/>
    <col min="7" max="8" width="13" customWidth="1"/>
  </cols>
  <sheetData>
    <row r="1" spans="1:8" ht="30" customHeight="1">
      <c r="A1" s="19" t="s">
        <v>60</v>
      </c>
      <c r="B1" s="20" t="s">
        <v>61</v>
      </c>
      <c r="C1" s="20" t="s">
        <v>62</v>
      </c>
      <c r="D1" s="20" t="s">
        <v>63</v>
      </c>
      <c r="E1" s="21" t="s">
        <v>64</v>
      </c>
      <c r="F1" s="21" t="s">
        <v>65</v>
      </c>
      <c r="G1" s="20" t="s">
        <v>66</v>
      </c>
      <c r="H1" s="20" t="s">
        <v>67</v>
      </c>
    </row>
    <row r="2" spans="1:8" ht="15.75" customHeight="1">
      <c r="A2" s="22" t="s">
        <v>68</v>
      </c>
      <c r="B2" s="23"/>
      <c r="C2" s="23"/>
      <c r="D2" s="23"/>
      <c r="E2" s="23"/>
      <c r="F2" s="23"/>
      <c r="G2" s="23"/>
      <c r="H2" s="23"/>
    </row>
    <row r="3" spans="1:8" ht="25.5" customHeight="1">
      <c r="A3" s="24" t="s">
        <v>2</v>
      </c>
      <c r="B3" s="25"/>
      <c r="C3" s="25"/>
      <c r="D3" s="25"/>
      <c r="E3" s="25"/>
      <c r="F3" s="25"/>
      <c r="G3" s="25"/>
      <c r="H3" s="25"/>
    </row>
    <row r="4" spans="1:8" ht="19.5" customHeight="1">
      <c r="A4" s="26" t="s">
        <v>69</v>
      </c>
      <c r="B4" s="27"/>
      <c r="C4" s="27"/>
      <c r="D4" s="27"/>
      <c r="E4" s="27"/>
      <c r="F4" s="27"/>
      <c r="G4" s="27"/>
      <c r="H4" s="27"/>
    </row>
    <row r="5" spans="1:8" ht="16.5" customHeight="1">
      <c r="A5" s="28" t="s">
        <v>70</v>
      </c>
      <c r="B5" s="29">
        <v>40</v>
      </c>
      <c r="C5" s="30">
        <v>6.5699999999999995E-2</v>
      </c>
      <c r="D5" s="31">
        <f>B5*C5</f>
        <v>2.6279999999999997</v>
      </c>
      <c r="E5" s="32"/>
      <c r="F5" s="32"/>
      <c r="G5" s="32"/>
      <c r="H5" s="32"/>
    </row>
    <row r="6" spans="1:8" ht="16.5" customHeight="1">
      <c r="A6" s="33" t="s">
        <v>71</v>
      </c>
      <c r="B6" s="34">
        <v>100</v>
      </c>
      <c r="C6" s="35">
        <v>3.0000000000000001E-3</v>
      </c>
      <c r="D6" s="36">
        <f>B6*C6</f>
        <v>0.3</v>
      </c>
      <c r="E6" s="37"/>
      <c r="F6" s="37"/>
      <c r="G6" s="37"/>
      <c r="H6" s="37"/>
    </row>
    <row r="7" spans="1:8" ht="16.5" customHeight="1">
      <c r="A7" s="28" t="s">
        <v>72</v>
      </c>
      <c r="B7" s="29">
        <v>5</v>
      </c>
      <c r="C7" s="30">
        <v>3.0000000000000001E-3</v>
      </c>
      <c r="D7" s="31">
        <f>B7*C7</f>
        <v>1.4999999999999999E-2</v>
      </c>
      <c r="E7" s="32"/>
      <c r="F7" s="32"/>
      <c r="G7" s="32"/>
      <c r="H7" s="32"/>
    </row>
    <row r="8" spans="1:8" ht="16.5" customHeight="1">
      <c r="A8" s="33" t="s">
        <v>73</v>
      </c>
      <c r="B8" s="34">
        <v>150</v>
      </c>
      <c r="C8" s="35">
        <v>4.0000000000000002E-4</v>
      </c>
      <c r="D8" s="36">
        <f>B8*C8</f>
        <v>6.0000000000000005E-2</v>
      </c>
      <c r="E8" s="37"/>
      <c r="F8" s="37"/>
      <c r="G8" s="37"/>
      <c r="H8" s="37"/>
    </row>
    <row r="9" spans="1:8" ht="18" customHeight="1">
      <c r="A9" s="38" t="s">
        <v>74</v>
      </c>
      <c r="B9" s="39"/>
      <c r="C9" s="39"/>
      <c r="D9" s="40">
        <f>SUM(D5:D8)</f>
        <v>3.0029999999999997</v>
      </c>
      <c r="E9" s="39"/>
      <c r="F9" s="39"/>
      <c r="G9" s="39"/>
      <c r="H9" s="39"/>
    </row>
    <row r="10" spans="1:8" ht="21.75" customHeight="1">
      <c r="A10" s="41" t="s">
        <v>75</v>
      </c>
      <c r="B10" s="42"/>
      <c r="C10" s="42"/>
      <c r="D10" s="43">
        <f>D9</f>
        <v>3.0029999999999997</v>
      </c>
      <c r="E10" s="44">
        <v>9.9</v>
      </c>
      <c r="F10" s="45">
        <f>IF(E10=0,"—",(E10-D9)/E10)</f>
        <v>0.69666666666666666</v>
      </c>
      <c r="G10" s="46">
        <f>E10-D9</f>
        <v>6.8970000000000002</v>
      </c>
      <c r="H10" s="47">
        <f>IF(E10=0,"—",(E10-D9)/E10)</f>
        <v>0.69666666666666666</v>
      </c>
    </row>
    <row r="11" spans="1:8" ht="4.5" customHeight="1">
      <c r="A11" s="48"/>
      <c r="B11" s="48"/>
      <c r="C11" s="48"/>
      <c r="D11" s="48"/>
      <c r="E11" s="48"/>
      <c r="F11" s="48"/>
      <c r="G11" s="48"/>
      <c r="H11" s="48"/>
    </row>
    <row r="12" spans="1:8" ht="19.5" customHeight="1">
      <c r="A12" s="26" t="s">
        <v>76</v>
      </c>
      <c r="B12" s="27"/>
      <c r="C12" s="27"/>
      <c r="D12" s="27"/>
      <c r="E12" s="27"/>
      <c r="F12" s="27"/>
      <c r="G12" s="27"/>
      <c r="H12" s="27"/>
    </row>
    <row r="13" spans="1:8" ht="16.5" customHeight="1">
      <c r="A13" s="28" t="s">
        <v>77</v>
      </c>
      <c r="B13" s="29">
        <v>60</v>
      </c>
      <c r="C13" s="30">
        <v>4.3999999999999997E-2</v>
      </c>
      <c r="D13" s="31">
        <f>B13*C13</f>
        <v>2.6399999999999997</v>
      </c>
      <c r="E13" s="32"/>
      <c r="F13" s="32"/>
      <c r="G13" s="32"/>
      <c r="H13" s="32"/>
    </row>
    <row r="14" spans="1:8" ht="16.5" customHeight="1">
      <c r="A14" s="33" t="s">
        <v>78</v>
      </c>
      <c r="B14" s="34">
        <v>120</v>
      </c>
      <c r="C14" s="35">
        <v>0.01</v>
      </c>
      <c r="D14" s="36">
        <f>B14*C14</f>
        <v>1.2</v>
      </c>
      <c r="E14" s="37"/>
      <c r="F14" s="37"/>
      <c r="G14" s="37"/>
      <c r="H14" s="37"/>
    </row>
    <row r="15" spans="1:8" ht="18" customHeight="1">
      <c r="A15" s="38" t="s">
        <v>74</v>
      </c>
      <c r="B15" s="39"/>
      <c r="C15" s="39"/>
      <c r="D15" s="40">
        <f>SUM(D13:D14)</f>
        <v>3.84</v>
      </c>
      <c r="E15" s="39"/>
      <c r="F15" s="39"/>
      <c r="G15" s="39"/>
      <c r="H15" s="39"/>
    </row>
    <row r="16" spans="1:8" ht="21.75" customHeight="1">
      <c r="A16" s="41" t="s">
        <v>75</v>
      </c>
      <c r="B16" s="42"/>
      <c r="C16" s="42"/>
      <c r="D16" s="43">
        <f>D15</f>
        <v>3.84</v>
      </c>
      <c r="E16" s="44">
        <v>9.9</v>
      </c>
      <c r="F16" s="45">
        <f>IF(E16=0,"—",(E16-D15)/E16)</f>
        <v>0.61212121212121218</v>
      </c>
      <c r="G16" s="46">
        <f>E16-D15</f>
        <v>6.0600000000000005</v>
      </c>
      <c r="H16" s="47">
        <f>IF(E16=0,"—",(E16-D15)/E16)</f>
        <v>0.61212121212121218</v>
      </c>
    </row>
    <row r="17" spans="1:8" ht="4.5" customHeight="1">
      <c r="A17" s="48"/>
      <c r="B17" s="48"/>
      <c r="C17" s="48"/>
      <c r="D17" s="48"/>
      <c r="E17" s="48"/>
      <c r="F17" s="48"/>
      <c r="G17" s="48"/>
      <c r="H17" s="48"/>
    </row>
    <row r="18" spans="1:8" ht="19.5" customHeight="1">
      <c r="A18" s="26" t="s">
        <v>79</v>
      </c>
      <c r="B18" s="27"/>
      <c r="C18" s="27"/>
      <c r="D18" s="27"/>
      <c r="E18" s="27"/>
      <c r="F18" s="27"/>
      <c r="G18" s="27"/>
      <c r="H18" s="27"/>
    </row>
    <row r="19" spans="1:8" ht="16.5" customHeight="1">
      <c r="A19" s="28" t="s">
        <v>80</v>
      </c>
      <c r="B19" s="29">
        <v>40</v>
      </c>
      <c r="C19" s="30">
        <v>7.8600000000000003E-2</v>
      </c>
      <c r="D19" s="31">
        <f>B19*C19</f>
        <v>3.1440000000000001</v>
      </c>
      <c r="E19" s="32"/>
      <c r="F19" s="32"/>
      <c r="G19" s="32"/>
      <c r="H19" s="32"/>
    </row>
    <row r="20" spans="1:8" ht="16.5" customHeight="1">
      <c r="A20" s="33" t="s">
        <v>71</v>
      </c>
      <c r="B20" s="34">
        <v>100</v>
      </c>
      <c r="C20" s="35">
        <v>3.0000000000000001E-3</v>
      </c>
      <c r="D20" s="36">
        <f>B20*C20</f>
        <v>0.3</v>
      </c>
      <c r="E20" s="37"/>
      <c r="F20" s="37"/>
      <c r="G20" s="37"/>
      <c r="H20" s="37"/>
    </row>
    <row r="21" spans="1:8" ht="16.5" customHeight="1">
      <c r="A21" s="28" t="s">
        <v>81</v>
      </c>
      <c r="B21" s="29">
        <v>5</v>
      </c>
      <c r="C21" s="30">
        <v>3.0000000000000001E-3</v>
      </c>
      <c r="D21" s="31">
        <f>B21*C21</f>
        <v>1.4999999999999999E-2</v>
      </c>
      <c r="E21" s="32"/>
      <c r="F21" s="32"/>
      <c r="G21" s="32"/>
      <c r="H21" s="32"/>
    </row>
    <row r="22" spans="1:8" ht="16.5" customHeight="1">
      <c r="A22" s="33" t="s">
        <v>73</v>
      </c>
      <c r="B22" s="34">
        <v>150</v>
      </c>
      <c r="C22" s="35">
        <v>4.0000000000000002E-4</v>
      </c>
      <c r="D22" s="36">
        <f>B22*C22</f>
        <v>6.0000000000000005E-2</v>
      </c>
      <c r="E22" s="37"/>
      <c r="F22" s="37"/>
      <c r="G22" s="37"/>
      <c r="H22" s="37"/>
    </row>
    <row r="23" spans="1:8" ht="18" customHeight="1">
      <c r="A23" s="38" t="s">
        <v>74</v>
      </c>
      <c r="B23" s="39"/>
      <c r="C23" s="39"/>
      <c r="D23" s="40">
        <f>SUM(D19:D22)</f>
        <v>3.5190000000000001</v>
      </c>
      <c r="E23" s="39"/>
      <c r="F23" s="39"/>
      <c r="G23" s="39"/>
      <c r="H23" s="39"/>
    </row>
    <row r="24" spans="1:8" ht="21.75" customHeight="1">
      <c r="A24" s="41" t="s">
        <v>75</v>
      </c>
      <c r="B24" s="42"/>
      <c r="C24" s="42"/>
      <c r="D24" s="43">
        <f>D23</f>
        <v>3.5190000000000001</v>
      </c>
      <c r="E24" s="44">
        <v>9.9</v>
      </c>
      <c r="F24" s="45">
        <f>IF(E24=0,"—",(E24-D23)/E24)</f>
        <v>0.64454545454545453</v>
      </c>
      <c r="G24" s="46">
        <f>E24-D23</f>
        <v>6.3810000000000002</v>
      </c>
      <c r="H24" s="47">
        <f>IF(E24=0,"—",(E24-D23)/E24)</f>
        <v>0.64454545454545453</v>
      </c>
    </row>
    <row r="25" spans="1:8" ht="4.5" customHeight="1">
      <c r="A25" s="48"/>
      <c r="B25" s="48"/>
      <c r="C25" s="48"/>
      <c r="D25" s="48"/>
      <c r="E25" s="48"/>
      <c r="F25" s="48"/>
      <c r="G25" s="48"/>
      <c r="H25" s="48"/>
    </row>
    <row r="26" spans="1:8" ht="19.5" customHeight="1">
      <c r="A26" s="26" t="s">
        <v>82</v>
      </c>
      <c r="B26" s="27"/>
      <c r="C26" s="27"/>
      <c r="D26" s="27"/>
      <c r="E26" s="27"/>
      <c r="F26" s="27"/>
      <c r="G26" s="27"/>
      <c r="H26" s="27"/>
    </row>
    <row r="27" spans="1:8" ht="16.5" customHeight="1">
      <c r="A27" s="28" t="s">
        <v>83</v>
      </c>
      <c r="B27" s="29">
        <v>40</v>
      </c>
      <c r="C27" s="30">
        <v>7.8600000000000003E-2</v>
      </c>
      <c r="D27" s="31">
        <f>B27*C27</f>
        <v>3.1440000000000001</v>
      </c>
      <c r="E27" s="32"/>
      <c r="F27" s="32"/>
      <c r="G27" s="32"/>
      <c r="H27" s="32"/>
    </row>
    <row r="28" spans="1:8" ht="16.5" customHeight="1">
      <c r="A28" s="33" t="s">
        <v>84</v>
      </c>
      <c r="B28" s="34">
        <v>100</v>
      </c>
      <c r="C28" s="35">
        <v>3.0000000000000001E-3</v>
      </c>
      <c r="D28" s="36">
        <f>B28*C28</f>
        <v>0.3</v>
      </c>
      <c r="E28" s="37"/>
      <c r="F28" s="37"/>
      <c r="G28" s="37"/>
      <c r="H28" s="37"/>
    </row>
    <row r="29" spans="1:8" ht="16.5" customHeight="1">
      <c r="A29" s="28" t="s">
        <v>81</v>
      </c>
      <c r="B29" s="29">
        <v>5</v>
      </c>
      <c r="C29" s="30">
        <v>3.0000000000000001E-3</v>
      </c>
      <c r="D29" s="31">
        <f>B29*C29</f>
        <v>1.4999999999999999E-2</v>
      </c>
      <c r="E29" s="32"/>
      <c r="F29" s="32"/>
      <c r="G29" s="32"/>
      <c r="H29" s="32"/>
    </row>
    <row r="30" spans="1:8" ht="16.5" customHeight="1">
      <c r="A30" s="33" t="s">
        <v>73</v>
      </c>
      <c r="B30" s="34">
        <v>150</v>
      </c>
      <c r="C30" s="35">
        <v>4.0000000000000002E-4</v>
      </c>
      <c r="D30" s="36">
        <f>B30*C30</f>
        <v>6.0000000000000005E-2</v>
      </c>
      <c r="E30" s="37"/>
      <c r="F30" s="37"/>
      <c r="G30" s="37"/>
      <c r="H30" s="37"/>
    </row>
    <row r="31" spans="1:8" ht="18" customHeight="1">
      <c r="A31" s="38" t="s">
        <v>74</v>
      </c>
      <c r="B31" s="39"/>
      <c r="C31" s="39"/>
      <c r="D31" s="40">
        <f>SUM(D27:D30)</f>
        <v>3.5190000000000001</v>
      </c>
      <c r="E31" s="39"/>
      <c r="F31" s="39"/>
      <c r="G31" s="39"/>
      <c r="H31" s="39"/>
    </row>
    <row r="32" spans="1:8" ht="21.75" customHeight="1">
      <c r="A32" s="41" t="s">
        <v>75</v>
      </c>
      <c r="B32" s="42"/>
      <c r="C32" s="42"/>
      <c r="D32" s="43">
        <f>D31</f>
        <v>3.5190000000000001</v>
      </c>
      <c r="E32" s="44">
        <v>9.9</v>
      </c>
      <c r="F32" s="45">
        <f>IF(E32=0,"—",(E32-D31)/E32)</f>
        <v>0.64454545454545453</v>
      </c>
      <c r="G32" s="46">
        <f>E32-D31</f>
        <v>6.3810000000000002</v>
      </c>
      <c r="H32" s="47">
        <f>IF(E32=0,"—",(E32-D31)/E32)</f>
        <v>0.64454545454545453</v>
      </c>
    </row>
    <row r="33" spans="1:8" ht="4.5" customHeight="1">
      <c r="A33" s="48"/>
      <c r="B33" s="48"/>
      <c r="C33" s="48"/>
      <c r="D33" s="48"/>
      <c r="E33" s="48"/>
      <c r="F33" s="48"/>
      <c r="G33" s="48"/>
      <c r="H33" s="48"/>
    </row>
    <row r="34" spans="1:8" ht="19.5" customHeight="1">
      <c r="A34" s="26" t="s">
        <v>85</v>
      </c>
      <c r="B34" s="27"/>
      <c r="C34" s="27"/>
      <c r="D34" s="27"/>
      <c r="E34" s="27"/>
      <c r="F34" s="27"/>
      <c r="G34" s="27"/>
      <c r="H34" s="27"/>
    </row>
    <row r="35" spans="1:8" ht="16.5" customHeight="1">
      <c r="A35" s="28" t="s">
        <v>70</v>
      </c>
      <c r="B35" s="29">
        <v>45</v>
      </c>
      <c r="C35" s="30">
        <v>6.5699999999999995E-2</v>
      </c>
      <c r="D35" s="31">
        <f>B35*C35</f>
        <v>2.9564999999999997</v>
      </c>
      <c r="E35" s="32"/>
      <c r="F35" s="32"/>
      <c r="G35" s="32"/>
      <c r="H35" s="32"/>
    </row>
    <row r="36" spans="1:8" ht="16.5" customHeight="1">
      <c r="A36" s="33" t="s">
        <v>86</v>
      </c>
      <c r="B36" s="34">
        <v>30</v>
      </c>
      <c r="C36" s="35">
        <v>3.15E-3</v>
      </c>
      <c r="D36" s="36">
        <f>B36*C36</f>
        <v>9.4500000000000001E-2</v>
      </c>
      <c r="E36" s="37"/>
      <c r="F36" s="37"/>
      <c r="G36" s="37"/>
      <c r="H36" s="37"/>
    </row>
    <row r="37" spans="1:8" ht="16.5" customHeight="1">
      <c r="A37" s="28" t="s">
        <v>87</v>
      </c>
      <c r="B37" s="29">
        <v>10</v>
      </c>
      <c r="C37" s="30">
        <v>3.7499999999999999E-2</v>
      </c>
      <c r="D37" s="31">
        <f>B37*C37</f>
        <v>0.375</v>
      </c>
      <c r="E37" s="32"/>
      <c r="F37" s="32"/>
      <c r="G37" s="32"/>
      <c r="H37" s="32"/>
    </row>
    <row r="38" spans="1:8" ht="18" customHeight="1">
      <c r="A38" s="38" t="s">
        <v>74</v>
      </c>
      <c r="B38" s="39"/>
      <c r="C38" s="39"/>
      <c r="D38" s="40">
        <f>SUM(D35:D37)</f>
        <v>3.4259999999999997</v>
      </c>
      <c r="E38" s="39"/>
      <c r="F38" s="39"/>
      <c r="G38" s="39"/>
      <c r="H38" s="39"/>
    </row>
    <row r="39" spans="1:8" ht="21.75" customHeight="1">
      <c r="A39" s="41" t="s">
        <v>75</v>
      </c>
      <c r="B39" s="42"/>
      <c r="C39" s="42"/>
      <c r="D39" s="43">
        <f>D38</f>
        <v>3.4259999999999997</v>
      </c>
      <c r="E39" s="44">
        <v>9.9</v>
      </c>
      <c r="F39" s="45">
        <f>IF(E39=0,"—",(E39-D38)/E39)</f>
        <v>0.65393939393939393</v>
      </c>
      <c r="G39" s="46">
        <f>E39-D38</f>
        <v>6.4740000000000002</v>
      </c>
      <c r="H39" s="47">
        <f>IF(E39=0,"—",(E39-D38)/E39)</f>
        <v>0.65393939393939393</v>
      </c>
    </row>
    <row r="40" spans="1:8" ht="4.5" customHeight="1">
      <c r="A40" s="48"/>
      <c r="B40" s="48"/>
      <c r="C40" s="48"/>
      <c r="D40" s="48"/>
      <c r="E40" s="48"/>
      <c r="F40" s="48"/>
      <c r="G40" s="48"/>
      <c r="H40" s="48"/>
    </row>
    <row r="41" spans="1:8" ht="19.5" customHeight="1">
      <c r="A41" s="26" t="s">
        <v>88</v>
      </c>
      <c r="B41" s="27"/>
      <c r="C41" s="27"/>
      <c r="D41" s="27"/>
      <c r="E41" s="27"/>
      <c r="F41" s="27"/>
      <c r="G41" s="27"/>
      <c r="H41" s="27"/>
    </row>
    <row r="42" spans="1:8" ht="16.5" customHeight="1">
      <c r="A42" s="28" t="s">
        <v>70</v>
      </c>
      <c r="B42" s="29">
        <v>30</v>
      </c>
      <c r="C42" s="30">
        <v>6.5699999999999995E-2</v>
      </c>
      <c r="D42" s="31">
        <f>B42*C42</f>
        <v>1.9709999999999999</v>
      </c>
      <c r="E42" s="32"/>
      <c r="F42" s="32"/>
      <c r="G42" s="32"/>
      <c r="H42" s="32"/>
    </row>
    <row r="43" spans="1:8" ht="16.5" customHeight="1">
      <c r="A43" s="33" t="s">
        <v>89</v>
      </c>
      <c r="B43" s="34">
        <v>100</v>
      </c>
      <c r="C43" s="35">
        <v>1.4E-3</v>
      </c>
      <c r="D43" s="36">
        <f>B43*C43</f>
        <v>0.13999999999999999</v>
      </c>
      <c r="E43" s="37"/>
      <c r="F43" s="37"/>
      <c r="G43" s="37"/>
      <c r="H43" s="37"/>
    </row>
    <row r="44" spans="1:8" ht="16.5" customHeight="1">
      <c r="A44" s="28" t="s">
        <v>73</v>
      </c>
      <c r="B44" s="29">
        <v>150</v>
      </c>
      <c r="C44" s="30">
        <v>4.0000000000000002E-4</v>
      </c>
      <c r="D44" s="31">
        <f>B44*C44</f>
        <v>6.0000000000000005E-2</v>
      </c>
      <c r="E44" s="32"/>
      <c r="F44" s="32"/>
      <c r="G44" s="32"/>
      <c r="H44" s="32"/>
    </row>
    <row r="45" spans="1:8" ht="18" customHeight="1">
      <c r="A45" s="38" t="s">
        <v>74</v>
      </c>
      <c r="B45" s="39"/>
      <c r="C45" s="39"/>
      <c r="D45" s="40">
        <f>SUM(D42:D44)</f>
        <v>2.1709999999999998</v>
      </c>
      <c r="E45" s="39"/>
      <c r="F45" s="39"/>
      <c r="G45" s="39"/>
      <c r="H45" s="39"/>
    </row>
    <row r="46" spans="1:8" ht="21.75" customHeight="1">
      <c r="A46" s="41" t="s">
        <v>75</v>
      </c>
      <c r="B46" s="42"/>
      <c r="C46" s="42"/>
      <c r="D46" s="43">
        <f>D45</f>
        <v>2.1709999999999998</v>
      </c>
      <c r="E46" s="44">
        <v>9.9</v>
      </c>
      <c r="F46" s="45">
        <f>IF(E46=0,"—",(E46-D45)/E46)</f>
        <v>0.78070707070707079</v>
      </c>
      <c r="G46" s="46">
        <f>E46-D45</f>
        <v>7.729000000000001</v>
      </c>
      <c r="H46" s="47">
        <f>IF(E46=0,"—",(E46-D45)/E46)</f>
        <v>0.78070707070707079</v>
      </c>
    </row>
    <row r="47" spans="1:8" ht="4.5" customHeight="1">
      <c r="A47" s="48"/>
      <c r="B47" s="48"/>
      <c r="C47" s="48"/>
      <c r="D47" s="48"/>
      <c r="E47" s="48"/>
      <c r="F47" s="48"/>
      <c r="G47" s="48"/>
      <c r="H47" s="48"/>
    </row>
    <row r="48" spans="1:8" ht="19.5" customHeight="1">
      <c r="A48" s="26" t="s">
        <v>90</v>
      </c>
      <c r="B48" s="27"/>
      <c r="C48" s="27"/>
      <c r="D48" s="27"/>
      <c r="E48" s="27"/>
      <c r="F48" s="27"/>
      <c r="G48" s="27"/>
      <c r="H48" s="27"/>
    </row>
    <row r="49" spans="1:8" ht="16.5" customHeight="1">
      <c r="A49" s="28" t="s">
        <v>80</v>
      </c>
      <c r="B49" s="29">
        <v>40</v>
      </c>
      <c r="C49" s="30">
        <v>7.8600000000000003E-2</v>
      </c>
      <c r="D49" s="31">
        <f>B49*C49</f>
        <v>3.1440000000000001</v>
      </c>
      <c r="E49" s="32"/>
      <c r="F49" s="32"/>
      <c r="G49" s="32"/>
      <c r="H49" s="32"/>
    </row>
    <row r="50" spans="1:8" ht="16.5" customHeight="1">
      <c r="A50" s="33" t="s">
        <v>91</v>
      </c>
      <c r="B50" s="34">
        <v>30</v>
      </c>
      <c r="C50" s="35">
        <v>5.5599999999999997E-2</v>
      </c>
      <c r="D50" s="36">
        <f>B50*C50</f>
        <v>1.6679999999999999</v>
      </c>
      <c r="E50" s="37"/>
      <c r="F50" s="37"/>
      <c r="G50" s="37"/>
      <c r="H50" s="37"/>
    </row>
    <row r="51" spans="1:8" ht="16.5" customHeight="1">
      <c r="A51" s="28" t="s">
        <v>92</v>
      </c>
      <c r="B51" s="29">
        <v>20</v>
      </c>
      <c r="C51" s="30">
        <v>3.0000000000000001E-3</v>
      </c>
      <c r="D51" s="31">
        <f>B51*C51</f>
        <v>0.06</v>
      </c>
      <c r="E51" s="32"/>
      <c r="F51" s="32"/>
      <c r="G51" s="32"/>
      <c r="H51" s="32"/>
    </row>
    <row r="52" spans="1:8" ht="18" customHeight="1">
      <c r="A52" s="38" t="s">
        <v>74</v>
      </c>
      <c r="B52" s="39"/>
      <c r="C52" s="39"/>
      <c r="D52" s="40">
        <f>SUM(D49:D51)</f>
        <v>4.8719999999999999</v>
      </c>
      <c r="E52" s="39"/>
      <c r="F52" s="39"/>
      <c r="G52" s="39"/>
      <c r="H52" s="39"/>
    </row>
    <row r="53" spans="1:8" ht="21.75" customHeight="1">
      <c r="A53" s="41" t="s">
        <v>75</v>
      </c>
      <c r="B53" s="42"/>
      <c r="C53" s="42"/>
      <c r="D53" s="43">
        <f>D52</f>
        <v>4.8719999999999999</v>
      </c>
      <c r="E53" s="44">
        <v>9.9</v>
      </c>
      <c r="F53" s="45">
        <f>IF(E53=0,"—",(E53-D52)/E53)</f>
        <v>0.50787878787878793</v>
      </c>
      <c r="G53" s="46">
        <f>E53-D52</f>
        <v>5.0280000000000005</v>
      </c>
      <c r="H53" s="47">
        <f>IF(E53=0,"—",(E53-D52)/E53)</f>
        <v>0.50787878787878793</v>
      </c>
    </row>
    <row r="54" spans="1:8" ht="4.5" customHeight="1">
      <c r="A54" s="48"/>
      <c r="B54" s="48"/>
      <c r="C54" s="48"/>
      <c r="D54" s="48"/>
      <c r="E54" s="48"/>
      <c r="F54" s="48"/>
      <c r="G54" s="48"/>
      <c r="H54" s="48"/>
    </row>
    <row r="55" spans="1:8" ht="19.5" customHeight="1">
      <c r="A55" s="26" t="s">
        <v>93</v>
      </c>
      <c r="B55" s="27"/>
      <c r="C55" s="27"/>
      <c r="D55" s="27"/>
      <c r="E55" s="27"/>
      <c r="F55" s="27"/>
      <c r="G55" s="27"/>
      <c r="H55" s="27"/>
    </row>
    <row r="56" spans="1:8" ht="16.5" customHeight="1">
      <c r="A56" s="28" t="s">
        <v>94</v>
      </c>
      <c r="B56" s="29">
        <v>30</v>
      </c>
      <c r="C56" s="30">
        <v>0.06</v>
      </c>
      <c r="D56" s="31">
        <f>B56*C56</f>
        <v>1.7999999999999998</v>
      </c>
      <c r="E56" s="32"/>
      <c r="F56" s="32"/>
      <c r="G56" s="32"/>
      <c r="H56" s="32"/>
    </row>
    <row r="57" spans="1:8" ht="16.5" customHeight="1">
      <c r="A57" s="33" t="s">
        <v>80</v>
      </c>
      <c r="B57" s="34">
        <v>30</v>
      </c>
      <c r="C57" s="35">
        <v>7.8600000000000003E-2</v>
      </c>
      <c r="D57" s="36">
        <f>B57*C57</f>
        <v>2.3580000000000001</v>
      </c>
      <c r="E57" s="37"/>
      <c r="F57" s="37"/>
      <c r="G57" s="37"/>
      <c r="H57" s="37"/>
    </row>
    <row r="58" spans="1:8" ht="16.5" customHeight="1">
      <c r="A58" s="28" t="s">
        <v>71</v>
      </c>
      <c r="B58" s="29">
        <v>100</v>
      </c>
      <c r="C58" s="30">
        <v>3.0000000000000001E-3</v>
      </c>
      <c r="D58" s="31">
        <f>B58*C58</f>
        <v>0.3</v>
      </c>
      <c r="E58" s="32"/>
      <c r="F58" s="32"/>
      <c r="G58" s="32"/>
      <c r="H58" s="32"/>
    </row>
    <row r="59" spans="1:8" ht="16.5" customHeight="1">
      <c r="A59" s="33" t="s">
        <v>73</v>
      </c>
      <c r="B59" s="34">
        <v>150</v>
      </c>
      <c r="C59" s="35">
        <v>4.0000000000000002E-4</v>
      </c>
      <c r="D59" s="36">
        <f>B59*C59</f>
        <v>6.0000000000000005E-2</v>
      </c>
      <c r="E59" s="37"/>
      <c r="F59" s="37"/>
      <c r="G59" s="37"/>
      <c r="H59" s="37"/>
    </row>
    <row r="60" spans="1:8" ht="18" customHeight="1">
      <c r="A60" s="38" t="s">
        <v>74</v>
      </c>
      <c r="B60" s="39"/>
      <c r="C60" s="39"/>
      <c r="D60" s="40">
        <f>SUM(D56:D59)</f>
        <v>4.5179999999999989</v>
      </c>
      <c r="E60" s="39"/>
      <c r="F60" s="39"/>
      <c r="G60" s="39"/>
      <c r="H60" s="39"/>
    </row>
    <row r="61" spans="1:8" ht="21.75" customHeight="1">
      <c r="A61" s="41" t="s">
        <v>75</v>
      </c>
      <c r="B61" s="42"/>
      <c r="C61" s="42"/>
      <c r="D61" s="43">
        <f>D60</f>
        <v>4.5179999999999989</v>
      </c>
      <c r="E61" s="44">
        <v>9.9</v>
      </c>
      <c r="F61" s="45">
        <f>IF(E61=0,"—",(E61-D60)/E61)</f>
        <v>0.54363636363636381</v>
      </c>
      <c r="G61" s="46">
        <f>E61-D60</f>
        <v>5.3820000000000014</v>
      </c>
      <c r="H61" s="47">
        <f>IF(E61=0,"—",(E61-D60)/E61)</f>
        <v>0.54363636363636381</v>
      </c>
    </row>
    <row r="62" spans="1:8" ht="4.5" customHeight="1">
      <c r="A62" s="48"/>
      <c r="B62" s="48"/>
      <c r="C62" s="48"/>
      <c r="D62" s="48"/>
      <c r="E62" s="48"/>
      <c r="F62" s="48"/>
      <c r="G62" s="48"/>
      <c r="H62" s="48"/>
    </row>
    <row r="63" spans="1:8" ht="9.75" customHeight="1"/>
    <row r="64" spans="1:8" ht="25.5" customHeight="1">
      <c r="A64" s="49" t="s">
        <v>29</v>
      </c>
      <c r="B64" s="50"/>
      <c r="C64" s="50"/>
      <c r="D64" s="50"/>
      <c r="E64" s="50"/>
      <c r="F64" s="50"/>
      <c r="G64" s="50"/>
      <c r="H64" s="50"/>
    </row>
    <row r="65" spans="1:8" ht="19.5" customHeight="1">
      <c r="A65" s="26" t="s">
        <v>95</v>
      </c>
      <c r="B65" s="27"/>
      <c r="C65" s="27"/>
      <c r="D65" s="27"/>
      <c r="E65" s="27"/>
      <c r="F65" s="27"/>
      <c r="G65" s="27"/>
      <c r="H65" s="27"/>
    </row>
    <row r="66" spans="1:8" ht="16.5" customHeight="1">
      <c r="A66" s="28" t="s">
        <v>96</v>
      </c>
      <c r="B66" s="29">
        <v>40</v>
      </c>
      <c r="C66" s="30">
        <v>7.8600000000000003E-2</v>
      </c>
      <c r="D66" s="31">
        <f>B66*C66</f>
        <v>3.1440000000000001</v>
      </c>
      <c r="E66" s="32"/>
      <c r="F66" s="32"/>
      <c r="G66" s="32"/>
      <c r="H66" s="32"/>
    </row>
    <row r="67" spans="1:8" ht="16.5" customHeight="1">
      <c r="A67" s="33" t="s">
        <v>97</v>
      </c>
      <c r="B67" s="34">
        <v>30</v>
      </c>
      <c r="C67" s="35">
        <v>0.02</v>
      </c>
      <c r="D67" s="36">
        <f>B67*C67</f>
        <v>0.6</v>
      </c>
      <c r="E67" s="37"/>
      <c r="F67" s="37"/>
      <c r="G67" s="37"/>
      <c r="H67" s="37"/>
    </row>
    <row r="68" spans="1:8" ht="16.5" customHeight="1">
      <c r="A68" s="28" t="s">
        <v>71</v>
      </c>
      <c r="B68" s="29">
        <v>100</v>
      </c>
      <c r="C68" s="30">
        <v>3.0000000000000001E-3</v>
      </c>
      <c r="D68" s="31">
        <f>B68*C68</f>
        <v>0.3</v>
      </c>
      <c r="E68" s="32"/>
      <c r="F68" s="32"/>
      <c r="G68" s="32"/>
      <c r="H68" s="32"/>
    </row>
    <row r="69" spans="1:8" ht="16.5" customHeight="1">
      <c r="A69" s="33" t="s">
        <v>98</v>
      </c>
      <c r="B69" s="34">
        <v>10</v>
      </c>
      <c r="C69" s="35">
        <v>4.0000000000000001E-3</v>
      </c>
      <c r="D69" s="36">
        <f>B69*C69</f>
        <v>0.04</v>
      </c>
      <c r="E69" s="37"/>
      <c r="F69" s="37"/>
      <c r="G69" s="37"/>
      <c r="H69" s="37"/>
    </row>
    <row r="70" spans="1:8" ht="16.5" customHeight="1">
      <c r="A70" s="28" t="s">
        <v>73</v>
      </c>
      <c r="B70" s="29">
        <v>150</v>
      </c>
      <c r="C70" s="30">
        <v>4.0000000000000002E-4</v>
      </c>
      <c r="D70" s="31">
        <f>B70*C70</f>
        <v>6.0000000000000005E-2</v>
      </c>
      <c r="E70" s="32"/>
      <c r="F70" s="32"/>
      <c r="G70" s="32"/>
      <c r="H70" s="32"/>
    </row>
    <row r="71" spans="1:8" ht="18" customHeight="1">
      <c r="A71" s="51" t="s">
        <v>74</v>
      </c>
      <c r="B71" s="52"/>
      <c r="C71" s="52"/>
      <c r="D71" s="53">
        <f>SUM(D66:D70)</f>
        <v>4.1440000000000001</v>
      </c>
      <c r="E71" s="52"/>
      <c r="F71" s="52"/>
      <c r="G71" s="52"/>
      <c r="H71" s="52"/>
    </row>
    <row r="72" spans="1:8" ht="21.75" customHeight="1">
      <c r="A72" s="41" t="s">
        <v>75</v>
      </c>
      <c r="B72" s="42"/>
      <c r="C72" s="42"/>
      <c r="D72" s="43">
        <f>D71</f>
        <v>4.1440000000000001</v>
      </c>
      <c r="E72" s="44">
        <v>9.9</v>
      </c>
      <c r="F72" s="45">
        <f>IF(E72=0,"—",(E72-D71)/E72)</f>
        <v>0.58141414141414138</v>
      </c>
      <c r="G72" s="46">
        <f>E72-D71</f>
        <v>5.7560000000000002</v>
      </c>
      <c r="H72" s="47">
        <f>IF(E72=0,"—",(E72-D71)/E72)</f>
        <v>0.58141414141414138</v>
      </c>
    </row>
    <row r="73" spans="1:8" ht="4.5" customHeight="1">
      <c r="A73" s="48"/>
      <c r="B73" s="48"/>
      <c r="C73" s="48"/>
      <c r="D73" s="48"/>
      <c r="E73" s="48"/>
      <c r="F73" s="48"/>
      <c r="G73" s="48"/>
      <c r="H73" s="48"/>
    </row>
    <row r="74" spans="1:8" ht="19.5" customHeight="1">
      <c r="A74" s="26" t="s">
        <v>99</v>
      </c>
      <c r="B74" s="27"/>
      <c r="C74" s="27"/>
      <c r="D74" s="27"/>
      <c r="E74" s="27"/>
      <c r="F74" s="27"/>
      <c r="G74" s="27"/>
      <c r="H74" s="27"/>
    </row>
    <row r="75" spans="1:8" ht="16.5" customHeight="1">
      <c r="A75" s="28" t="s">
        <v>100</v>
      </c>
      <c r="B75" s="29">
        <v>40</v>
      </c>
      <c r="C75" s="30">
        <v>7.8600000000000003E-2</v>
      </c>
      <c r="D75" s="31">
        <f>B75*C75</f>
        <v>3.1440000000000001</v>
      </c>
      <c r="E75" s="32"/>
      <c r="F75" s="32"/>
      <c r="G75" s="32"/>
      <c r="H75" s="32"/>
    </row>
    <row r="76" spans="1:8" ht="16.5" customHeight="1">
      <c r="A76" s="33" t="s">
        <v>101</v>
      </c>
      <c r="B76" s="34">
        <v>30</v>
      </c>
      <c r="C76" s="35">
        <v>0.02</v>
      </c>
      <c r="D76" s="36">
        <f>B76*C76</f>
        <v>0.6</v>
      </c>
      <c r="E76" s="37"/>
      <c r="F76" s="37"/>
      <c r="G76" s="37"/>
      <c r="H76" s="37"/>
    </row>
    <row r="77" spans="1:8" ht="16.5" customHeight="1">
      <c r="A77" s="28" t="s">
        <v>71</v>
      </c>
      <c r="B77" s="29">
        <v>100</v>
      </c>
      <c r="C77" s="30">
        <v>3.0000000000000001E-3</v>
      </c>
      <c r="D77" s="31">
        <f>B77*C77</f>
        <v>0.3</v>
      </c>
      <c r="E77" s="32"/>
      <c r="F77" s="32"/>
      <c r="G77" s="32"/>
      <c r="H77" s="32"/>
    </row>
    <row r="78" spans="1:8" ht="16.5" customHeight="1">
      <c r="A78" s="33" t="s">
        <v>98</v>
      </c>
      <c r="B78" s="34">
        <v>10</v>
      </c>
      <c r="C78" s="35">
        <v>4.0000000000000001E-3</v>
      </c>
      <c r="D78" s="36">
        <f>B78*C78</f>
        <v>0.04</v>
      </c>
      <c r="E78" s="37"/>
      <c r="F78" s="37"/>
      <c r="G78" s="37"/>
      <c r="H78" s="37"/>
    </row>
    <row r="79" spans="1:8" ht="16.5" customHeight="1">
      <c r="A79" s="28" t="s">
        <v>73</v>
      </c>
      <c r="B79" s="29">
        <v>150</v>
      </c>
      <c r="C79" s="30">
        <v>4.0000000000000002E-4</v>
      </c>
      <c r="D79" s="31">
        <f>B79*C79</f>
        <v>6.0000000000000005E-2</v>
      </c>
      <c r="E79" s="32"/>
      <c r="F79" s="32"/>
      <c r="G79" s="32"/>
      <c r="H79" s="32"/>
    </row>
    <row r="80" spans="1:8" ht="18" customHeight="1">
      <c r="A80" s="51" t="s">
        <v>74</v>
      </c>
      <c r="B80" s="52"/>
      <c r="C80" s="52"/>
      <c r="D80" s="53">
        <f>SUM(D75:D79)</f>
        <v>4.1440000000000001</v>
      </c>
      <c r="E80" s="52"/>
      <c r="F80" s="52"/>
      <c r="G80" s="52"/>
      <c r="H80" s="52"/>
    </row>
    <row r="81" spans="1:8" ht="21.75" customHeight="1">
      <c r="A81" s="41" t="s">
        <v>75</v>
      </c>
      <c r="B81" s="42"/>
      <c r="C81" s="42"/>
      <c r="D81" s="43">
        <f>D80</f>
        <v>4.1440000000000001</v>
      </c>
      <c r="E81" s="44">
        <v>9.9</v>
      </c>
      <c r="F81" s="45">
        <f>IF(E81=0,"—",(E81-D80)/E81)</f>
        <v>0.58141414141414138</v>
      </c>
      <c r="G81" s="46">
        <f>E81-D80</f>
        <v>5.7560000000000002</v>
      </c>
      <c r="H81" s="47">
        <f>IF(E81=0,"—",(E81-D80)/E81)</f>
        <v>0.58141414141414138</v>
      </c>
    </row>
    <row r="82" spans="1:8" ht="4.5" customHeight="1">
      <c r="A82" s="48"/>
      <c r="B82" s="48"/>
      <c r="C82" s="48"/>
      <c r="D82" s="48"/>
      <c r="E82" s="48"/>
      <c r="F82" s="48"/>
      <c r="G82" s="48"/>
      <c r="H82" s="48"/>
    </row>
    <row r="83" spans="1:8" ht="19.5" customHeight="1">
      <c r="A83" s="26" t="s">
        <v>102</v>
      </c>
      <c r="B83" s="27"/>
      <c r="C83" s="27"/>
      <c r="D83" s="27"/>
      <c r="E83" s="27"/>
      <c r="F83" s="27"/>
      <c r="G83" s="27"/>
      <c r="H83" s="27"/>
    </row>
    <row r="84" spans="1:8" ht="16.5" customHeight="1">
      <c r="A84" s="28" t="s">
        <v>103</v>
      </c>
      <c r="B84" s="29">
        <v>40</v>
      </c>
      <c r="C84" s="30">
        <v>7.8600000000000003E-2</v>
      </c>
      <c r="D84" s="31">
        <f>B84*C84</f>
        <v>3.1440000000000001</v>
      </c>
      <c r="E84" s="32"/>
      <c r="F84" s="32"/>
      <c r="G84" s="32"/>
      <c r="H84" s="32"/>
    </row>
    <row r="85" spans="1:8" ht="16.5" customHeight="1">
      <c r="A85" s="33" t="s">
        <v>104</v>
      </c>
      <c r="B85" s="34">
        <v>30</v>
      </c>
      <c r="C85" s="35">
        <v>0.02</v>
      </c>
      <c r="D85" s="36">
        <f>B85*C85</f>
        <v>0.6</v>
      </c>
      <c r="E85" s="37"/>
      <c r="F85" s="37"/>
      <c r="G85" s="37"/>
      <c r="H85" s="37"/>
    </row>
    <row r="86" spans="1:8" ht="16.5" customHeight="1">
      <c r="A86" s="28" t="s">
        <v>71</v>
      </c>
      <c r="B86" s="29">
        <v>100</v>
      </c>
      <c r="C86" s="30">
        <v>3.0000000000000001E-3</v>
      </c>
      <c r="D86" s="31">
        <f>B86*C86</f>
        <v>0.3</v>
      </c>
      <c r="E86" s="32"/>
      <c r="F86" s="32"/>
      <c r="G86" s="32"/>
      <c r="H86" s="32"/>
    </row>
    <row r="87" spans="1:8" ht="16.5" customHeight="1">
      <c r="A87" s="33" t="s">
        <v>98</v>
      </c>
      <c r="B87" s="34">
        <v>10</v>
      </c>
      <c r="C87" s="35">
        <v>4.0000000000000001E-3</v>
      </c>
      <c r="D87" s="36">
        <f>B87*C87</f>
        <v>0.04</v>
      </c>
      <c r="E87" s="37"/>
      <c r="F87" s="37"/>
      <c r="G87" s="37"/>
      <c r="H87" s="37"/>
    </row>
    <row r="88" spans="1:8" ht="16.5" customHeight="1">
      <c r="A88" s="28" t="s">
        <v>73</v>
      </c>
      <c r="B88" s="29">
        <v>150</v>
      </c>
      <c r="C88" s="30">
        <v>4.0000000000000002E-4</v>
      </c>
      <c r="D88" s="31">
        <f>B88*C88</f>
        <v>6.0000000000000005E-2</v>
      </c>
      <c r="E88" s="32"/>
      <c r="F88" s="32"/>
      <c r="G88" s="32"/>
      <c r="H88" s="32"/>
    </row>
    <row r="89" spans="1:8" ht="18" customHeight="1">
      <c r="A89" s="51" t="s">
        <v>74</v>
      </c>
      <c r="B89" s="52"/>
      <c r="C89" s="52"/>
      <c r="D89" s="53">
        <f>SUM(D84:D88)</f>
        <v>4.1440000000000001</v>
      </c>
      <c r="E89" s="52"/>
      <c r="F89" s="52"/>
      <c r="G89" s="52"/>
      <c r="H89" s="52"/>
    </row>
    <row r="90" spans="1:8" ht="21.75" customHeight="1">
      <c r="A90" s="41" t="s">
        <v>75</v>
      </c>
      <c r="B90" s="42"/>
      <c r="C90" s="42"/>
      <c r="D90" s="43">
        <f>D89</f>
        <v>4.1440000000000001</v>
      </c>
      <c r="E90" s="44">
        <v>9.9</v>
      </c>
      <c r="F90" s="45">
        <f>IF(E90=0,"—",(E90-D89)/E90)</f>
        <v>0.58141414141414138</v>
      </c>
      <c r="G90" s="46">
        <f>E90-D89</f>
        <v>5.7560000000000002</v>
      </c>
      <c r="H90" s="47">
        <f>IF(E90=0,"—",(E90-D89)/E90)</f>
        <v>0.58141414141414138</v>
      </c>
    </row>
    <row r="91" spans="1:8" ht="4.5" customHeight="1">
      <c r="A91" s="48"/>
      <c r="B91" s="48"/>
      <c r="C91" s="48"/>
      <c r="D91" s="48"/>
      <c r="E91" s="48"/>
      <c r="F91" s="48"/>
      <c r="G91" s="48"/>
      <c r="H91" s="48"/>
    </row>
    <row r="92" spans="1:8" ht="19.5" customHeight="1">
      <c r="A92" s="26" t="s">
        <v>105</v>
      </c>
      <c r="B92" s="27"/>
      <c r="C92" s="27"/>
      <c r="D92" s="27"/>
      <c r="E92" s="27"/>
      <c r="F92" s="27"/>
      <c r="G92" s="27"/>
      <c r="H92" s="27"/>
    </row>
    <row r="93" spans="1:8" ht="16.5" customHeight="1">
      <c r="A93" s="28" t="s">
        <v>96</v>
      </c>
      <c r="B93" s="29">
        <v>40</v>
      </c>
      <c r="C93" s="30">
        <v>7.8600000000000003E-2</v>
      </c>
      <c r="D93" s="31">
        <f>B93*C93</f>
        <v>3.1440000000000001</v>
      </c>
      <c r="E93" s="32"/>
      <c r="F93" s="32"/>
      <c r="G93" s="32"/>
      <c r="H93" s="32"/>
    </row>
    <row r="94" spans="1:8" ht="16.5" customHeight="1">
      <c r="A94" s="33" t="s">
        <v>106</v>
      </c>
      <c r="B94" s="34">
        <v>30</v>
      </c>
      <c r="C94" s="35">
        <v>0.02</v>
      </c>
      <c r="D94" s="36">
        <f>B94*C94</f>
        <v>0.6</v>
      </c>
      <c r="E94" s="37"/>
      <c r="F94" s="37"/>
      <c r="G94" s="37"/>
      <c r="H94" s="37"/>
    </row>
    <row r="95" spans="1:8" ht="16.5" customHeight="1">
      <c r="A95" s="28" t="s">
        <v>71</v>
      </c>
      <c r="B95" s="29">
        <v>100</v>
      </c>
      <c r="C95" s="30">
        <v>3.0000000000000001E-3</v>
      </c>
      <c r="D95" s="31">
        <f>B95*C95</f>
        <v>0.3</v>
      </c>
      <c r="E95" s="32"/>
      <c r="F95" s="32"/>
      <c r="G95" s="32"/>
      <c r="H95" s="32"/>
    </row>
    <row r="96" spans="1:8" ht="16.5" customHeight="1">
      <c r="A96" s="33" t="s">
        <v>98</v>
      </c>
      <c r="B96" s="34">
        <v>10</v>
      </c>
      <c r="C96" s="35">
        <v>4.0000000000000001E-3</v>
      </c>
      <c r="D96" s="36">
        <f>B96*C96</f>
        <v>0.04</v>
      </c>
      <c r="E96" s="37"/>
      <c r="F96" s="37"/>
      <c r="G96" s="37"/>
      <c r="H96" s="37"/>
    </row>
    <row r="97" spans="1:8" ht="16.5" customHeight="1">
      <c r="A97" s="28" t="s">
        <v>73</v>
      </c>
      <c r="B97" s="29">
        <v>150</v>
      </c>
      <c r="C97" s="30">
        <v>4.0000000000000002E-4</v>
      </c>
      <c r="D97" s="31">
        <f>B97*C97</f>
        <v>6.0000000000000005E-2</v>
      </c>
      <c r="E97" s="32"/>
      <c r="F97" s="32"/>
      <c r="G97" s="32"/>
      <c r="H97" s="32"/>
    </row>
    <row r="98" spans="1:8" ht="18" customHeight="1">
      <c r="A98" s="51" t="s">
        <v>74</v>
      </c>
      <c r="B98" s="52"/>
      <c r="C98" s="52"/>
      <c r="D98" s="53">
        <f>SUM(D93:D97)</f>
        <v>4.1440000000000001</v>
      </c>
      <c r="E98" s="52"/>
      <c r="F98" s="52"/>
      <c r="G98" s="52"/>
      <c r="H98" s="52"/>
    </row>
    <row r="99" spans="1:8" ht="21.75" customHeight="1">
      <c r="A99" s="41" t="s">
        <v>75</v>
      </c>
      <c r="B99" s="42"/>
      <c r="C99" s="42"/>
      <c r="D99" s="43">
        <f>D98</f>
        <v>4.1440000000000001</v>
      </c>
      <c r="E99" s="44">
        <v>9.9</v>
      </c>
      <c r="F99" s="45">
        <f>IF(E99=0,"—",(E99-D98)/E99)</f>
        <v>0.58141414141414138</v>
      </c>
      <c r="G99" s="46">
        <f>E99-D98</f>
        <v>5.7560000000000002</v>
      </c>
      <c r="H99" s="47">
        <f>IF(E99=0,"—",(E99-D98)/E99)</f>
        <v>0.58141414141414138</v>
      </c>
    </row>
    <row r="100" spans="1:8" ht="4.5" customHeight="1">
      <c r="A100" s="48"/>
      <c r="B100" s="48"/>
      <c r="C100" s="48"/>
      <c r="D100" s="48"/>
      <c r="E100" s="48"/>
      <c r="F100" s="48"/>
      <c r="G100" s="48"/>
      <c r="H100" s="48"/>
    </row>
    <row r="101" spans="1:8" ht="9.75" customHeight="1"/>
    <row r="102" spans="1:8" ht="25.5" customHeight="1">
      <c r="A102" s="54" t="s">
        <v>23</v>
      </c>
      <c r="B102" s="55"/>
      <c r="C102" s="55"/>
      <c r="D102" s="55"/>
      <c r="E102" s="55"/>
      <c r="F102" s="55"/>
      <c r="G102" s="55"/>
      <c r="H102" s="55"/>
    </row>
    <row r="103" spans="1:8" ht="19.5" customHeight="1">
      <c r="A103" s="26" t="s">
        <v>107</v>
      </c>
      <c r="B103" s="27"/>
      <c r="C103" s="27"/>
      <c r="D103" s="27"/>
      <c r="E103" s="27"/>
      <c r="F103" s="27"/>
      <c r="G103" s="27"/>
      <c r="H103" s="27"/>
    </row>
    <row r="104" spans="1:8" ht="16.5" customHeight="1">
      <c r="A104" s="28" t="s">
        <v>77</v>
      </c>
      <c r="B104" s="29">
        <v>100</v>
      </c>
      <c r="C104" s="30">
        <v>4.3999999999999997E-2</v>
      </c>
      <c r="D104" s="31">
        <f>B104*C104</f>
        <v>4.3999999999999995</v>
      </c>
      <c r="E104" s="32"/>
      <c r="F104" s="32"/>
      <c r="G104" s="32"/>
      <c r="H104" s="32"/>
    </row>
    <row r="105" spans="1:8" ht="16.5" customHeight="1">
      <c r="A105" s="33" t="s">
        <v>108</v>
      </c>
      <c r="B105" s="34">
        <v>70</v>
      </c>
      <c r="C105" s="35">
        <v>4.2900000000000001E-2</v>
      </c>
      <c r="D105" s="36">
        <f>B105*C105</f>
        <v>3.0030000000000001</v>
      </c>
      <c r="E105" s="37"/>
      <c r="F105" s="37"/>
      <c r="G105" s="37"/>
      <c r="H105" s="37"/>
    </row>
    <row r="106" spans="1:8" ht="16.5" customHeight="1">
      <c r="A106" s="28" t="s">
        <v>109</v>
      </c>
      <c r="B106" s="29">
        <v>70</v>
      </c>
      <c r="C106" s="30">
        <v>4.4999999999999998E-2</v>
      </c>
      <c r="D106" s="31">
        <f>B106*C106</f>
        <v>3.15</v>
      </c>
      <c r="E106" s="32"/>
      <c r="F106" s="32"/>
      <c r="G106" s="32"/>
      <c r="H106" s="32"/>
    </row>
    <row r="107" spans="1:8" ht="16.5" customHeight="1">
      <c r="A107" s="33" t="s">
        <v>110</v>
      </c>
      <c r="B107" s="34">
        <v>60</v>
      </c>
      <c r="C107" s="35">
        <v>0.01</v>
      </c>
      <c r="D107" s="36">
        <f>B107*C107</f>
        <v>0.6</v>
      </c>
      <c r="E107" s="37"/>
      <c r="F107" s="37"/>
      <c r="G107" s="37"/>
      <c r="H107" s="37"/>
    </row>
    <row r="108" spans="1:8" ht="18" customHeight="1">
      <c r="A108" s="56" t="s">
        <v>74</v>
      </c>
      <c r="B108" s="57"/>
      <c r="C108" s="57"/>
      <c r="D108" s="58">
        <f>SUM(D104:D107)</f>
        <v>11.152999999999999</v>
      </c>
      <c r="E108" s="57"/>
      <c r="F108" s="57"/>
      <c r="G108" s="57"/>
      <c r="H108" s="57"/>
    </row>
    <row r="109" spans="1:8" ht="21.75" customHeight="1">
      <c r="A109" s="41" t="s">
        <v>75</v>
      </c>
      <c r="B109" s="42"/>
      <c r="C109" s="42"/>
      <c r="D109" s="43">
        <f>D108</f>
        <v>11.152999999999999</v>
      </c>
      <c r="E109" s="44">
        <v>19.899999999999999</v>
      </c>
      <c r="F109" s="45">
        <f>IF(E109=0,"—",(E109-D108)/E109)</f>
        <v>0.43954773869346736</v>
      </c>
      <c r="G109" s="46">
        <f>E109-D108</f>
        <v>8.7469999999999999</v>
      </c>
      <c r="H109" s="47">
        <f>IF(E109=0,"—",(E109-D108)/E109)</f>
        <v>0.43954773869346736</v>
      </c>
    </row>
    <row r="110" spans="1:8" ht="4.5" customHeight="1">
      <c r="A110" s="48"/>
      <c r="B110" s="48"/>
      <c r="C110" s="48"/>
      <c r="D110" s="48"/>
      <c r="E110" s="48"/>
      <c r="F110" s="48"/>
      <c r="G110" s="48"/>
      <c r="H110" s="48"/>
    </row>
    <row r="111" spans="1:8" ht="19.5" customHeight="1">
      <c r="A111" s="26" t="s">
        <v>111</v>
      </c>
      <c r="B111" s="27"/>
      <c r="C111" s="27"/>
      <c r="D111" s="27"/>
      <c r="E111" s="27"/>
      <c r="F111" s="27"/>
      <c r="G111" s="27"/>
      <c r="H111" s="27"/>
    </row>
    <row r="112" spans="1:8" ht="16.5" customHeight="1">
      <c r="A112" s="28" t="s">
        <v>83</v>
      </c>
      <c r="B112" s="29">
        <v>80</v>
      </c>
      <c r="C112" s="30">
        <v>7.8600000000000003E-2</v>
      </c>
      <c r="D112" s="31">
        <f>B112*C112</f>
        <v>6.2880000000000003</v>
      </c>
      <c r="E112" s="32"/>
      <c r="F112" s="32"/>
      <c r="G112" s="32"/>
      <c r="H112" s="32"/>
    </row>
    <row r="113" spans="1:8" ht="16.5" customHeight="1">
      <c r="A113" s="33" t="s">
        <v>112</v>
      </c>
      <c r="B113" s="34">
        <v>80</v>
      </c>
      <c r="C113" s="35">
        <v>6.6699999999999995E-2</v>
      </c>
      <c r="D113" s="36">
        <f>B113*C113</f>
        <v>5.3359999999999994</v>
      </c>
      <c r="E113" s="37"/>
      <c r="F113" s="37"/>
      <c r="G113" s="37"/>
      <c r="H113" s="37"/>
    </row>
    <row r="114" spans="1:8" ht="16.5" customHeight="1">
      <c r="A114" s="28" t="s">
        <v>113</v>
      </c>
      <c r="B114" s="29">
        <v>80</v>
      </c>
      <c r="C114" s="30">
        <v>4.4999999999999998E-2</v>
      </c>
      <c r="D114" s="31">
        <f>B114*C114</f>
        <v>3.5999999999999996</v>
      </c>
      <c r="E114" s="32"/>
      <c r="F114" s="32"/>
      <c r="G114" s="32"/>
      <c r="H114" s="32"/>
    </row>
    <row r="115" spans="1:8" ht="16.5" customHeight="1">
      <c r="A115" s="33" t="s">
        <v>110</v>
      </c>
      <c r="B115" s="34">
        <v>60</v>
      </c>
      <c r="C115" s="35">
        <v>0.01</v>
      </c>
      <c r="D115" s="36">
        <f>B115*C115</f>
        <v>0.6</v>
      </c>
      <c r="E115" s="37"/>
      <c r="F115" s="37"/>
      <c r="G115" s="37"/>
      <c r="H115" s="37"/>
    </row>
    <row r="116" spans="1:8" ht="18" customHeight="1">
      <c r="A116" s="56" t="s">
        <v>74</v>
      </c>
      <c r="B116" s="57"/>
      <c r="C116" s="57"/>
      <c r="D116" s="58">
        <f>SUM(D112:D115)</f>
        <v>15.823999999999998</v>
      </c>
      <c r="E116" s="57"/>
      <c r="F116" s="57"/>
      <c r="G116" s="57"/>
      <c r="H116" s="57"/>
    </row>
    <row r="117" spans="1:8" ht="21.75" customHeight="1">
      <c r="A117" s="41" t="s">
        <v>75</v>
      </c>
      <c r="B117" s="42"/>
      <c r="C117" s="42"/>
      <c r="D117" s="43">
        <f>D116</f>
        <v>15.823999999999998</v>
      </c>
      <c r="E117" s="44">
        <v>19.899999999999999</v>
      </c>
      <c r="F117" s="45">
        <f>IF(E117=0,"—",(E117-D116)/E117)</f>
        <v>0.20482412060301511</v>
      </c>
      <c r="G117" s="46">
        <f>E117-D116</f>
        <v>4.0760000000000005</v>
      </c>
      <c r="H117" s="47">
        <f>IF(E117=0,"—",(E117-D116)/E117)</f>
        <v>0.20482412060301511</v>
      </c>
    </row>
    <row r="118" spans="1:8" ht="4.5" customHeight="1">
      <c r="A118" s="48"/>
      <c r="B118" s="48"/>
      <c r="C118" s="48"/>
      <c r="D118" s="48"/>
      <c r="E118" s="48"/>
      <c r="F118" s="48"/>
      <c r="G118" s="48"/>
      <c r="H118" s="48"/>
    </row>
    <row r="119" spans="1:8" ht="9.75" customHeight="1"/>
    <row r="120" spans="1:8" ht="25.5" customHeight="1">
      <c r="A120" s="59" t="s">
        <v>39</v>
      </c>
      <c r="B120" s="60"/>
      <c r="C120" s="60"/>
      <c r="D120" s="60"/>
      <c r="E120" s="60"/>
      <c r="F120" s="60"/>
      <c r="G120" s="60"/>
      <c r="H120" s="60"/>
    </row>
    <row r="121" spans="1:8" ht="19.5" customHeight="1">
      <c r="A121" s="26" t="s">
        <v>114</v>
      </c>
      <c r="B121" s="27"/>
      <c r="C121" s="27"/>
      <c r="D121" s="27"/>
      <c r="E121" s="27"/>
      <c r="F121" s="27"/>
      <c r="G121" s="27"/>
      <c r="H121" s="27"/>
    </row>
    <row r="122" spans="1:8" ht="16.5" customHeight="1">
      <c r="A122" s="28" t="s">
        <v>115</v>
      </c>
      <c r="B122" s="29">
        <v>30</v>
      </c>
      <c r="C122" s="30">
        <v>0.13200000000000001</v>
      </c>
      <c r="D122" s="31">
        <f>B122*C122</f>
        <v>3.96</v>
      </c>
      <c r="E122" s="32"/>
      <c r="F122" s="32"/>
      <c r="G122" s="32"/>
      <c r="H122" s="32"/>
    </row>
    <row r="123" spans="1:8" ht="16.5" customHeight="1">
      <c r="A123" s="33" t="s">
        <v>116</v>
      </c>
      <c r="B123" s="34">
        <v>60</v>
      </c>
      <c r="C123" s="35">
        <v>3.0000000000000001E-3</v>
      </c>
      <c r="D123" s="36">
        <f>B123*C123</f>
        <v>0.18</v>
      </c>
      <c r="E123" s="37"/>
      <c r="F123" s="37"/>
      <c r="G123" s="37"/>
      <c r="H123" s="37"/>
    </row>
    <row r="124" spans="1:8" ht="16.5" customHeight="1">
      <c r="A124" s="28" t="s">
        <v>71</v>
      </c>
      <c r="B124" s="29">
        <v>100</v>
      </c>
      <c r="C124" s="30">
        <v>3.0000000000000001E-3</v>
      </c>
      <c r="D124" s="31">
        <f>B124*C124</f>
        <v>0.3</v>
      </c>
      <c r="E124" s="32"/>
      <c r="F124" s="32"/>
      <c r="G124" s="32"/>
      <c r="H124" s="32"/>
    </row>
    <row r="125" spans="1:8" ht="16.5" customHeight="1">
      <c r="A125" s="33" t="s">
        <v>117</v>
      </c>
      <c r="B125" s="34">
        <v>1</v>
      </c>
      <c r="C125" s="35">
        <v>0.01</v>
      </c>
      <c r="D125" s="36">
        <f>B125*C125</f>
        <v>0.01</v>
      </c>
      <c r="E125" s="37"/>
      <c r="F125" s="37"/>
      <c r="G125" s="37"/>
      <c r="H125" s="37"/>
    </row>
    <row r="126" spans="1:8" ht="18" customHeight="1">
      <c r="A126" s="61" t="s">
        <v>74</v>
      </c>
      <c r="B126" s="62"/>
      <c r="C126" s="62"/>
      <c r="D126" s="63">
        <f>SUM(D122:D125)</f>
        <v>4.4499999999999993</v>
      </c>
      <c r="E126" s="62"/>
      <c r="F126" s="62"/>
      <c r="G126" s="62"/>
      <c r="H126" s="62"/>
    </row>
    <row r="127" spans="1:8" ht="21.75" customHeight="1">
      <c r="A127" s="41" t="s">
        <v>75</v>
      </c>
      <c r="B127" s="42"/>
      <c r="C127" s="42"/>
      <c r="D127" s="43">
        <f>D126</f>
        <v>4.4499999999999993</v>
      </c>
      <c r="E127" s="44">
        <v>15.9</v>
      </c>
      <c r="F127" s="45">
        <f>IF(E127=0,"—",(E127-D126)/E127)</f>
        <v>0.72012578616352207</v>
      </c>
      <c r="G127" s="46">
        <f>E127-D126</f>
        <v>11.450000000000001</v>
      </c>
      <c r="H127" s="47">
        <f>IF(E127=0,"—",(E127-D126)/E127)</f>
        <v>0.72012578616352207</v>
      </c>
    </row>
    <row r="128" spans="1:8" ht="4.5" customHeight="1">
      <c r="A128" s="48"/>
      <c r="B128" s="48"/>
      <c r="C128" s="48"/>
      <c r="D128" s="48"/>
      <c r="E128" s="48"/>
      <c r="F128" s="48"/>
      <c r="G128" s="48"/>
      <c r="H128" s="48"/>
    </row>
    <row r="129" spans="1:8" ht="19.5" customHeight="1">
      <c r="A129" s="26" t="s">
        <v>118</v>
      </c>
      <c r="B129" s="27"/>
      <c r="C129" s="27"/>
      <c r="D129" s="27"/>
      <c r="E129" s="27"/>
      <c r="F129" s="27"/>
      <c r="G129" s="27"/>
      <c r="H129" s="27"/>
    </row>
    <row r="130" spans="1:8" ht="16.5" customHeight="1">
      <c r="A130" s="28" t="s">
        <v>80</v>
      </c>
      <c r="B130" s="29">
        <v>30</v>
      </c>
      <c r="C130" s="30">
        <v>7.8600000000000003E-2</v>
      </c>
      <c r="D130" s="31">
        <f>B130*C130</f>
        <v>2.3580000000000001</v>
      </c>
      <c r="E130" s="32"/>
      <c r="F130" s="32"/>
      <c r="G130" s="32"/>
      <c r="H130" s="32"/>
    </row>
    <row r="131" spans="1:8" ht="16.5" customHeight="1">
      <c r="A131" s="33" t="s">
        <v>116</v>
      </c>
      <c r="B131" s="34">
        <v>170</v>
      </c>
      <c r="C131" s="35">
        <v>3.0000000000000001E-3</v>
      </c>
      <c r="D131" s="36">
        <f>B131*C131</f>
        <v>0.51</v>
      </c>
      <c r="E131" s="37"/>
      <c r="F131" s="37"/>
      <c r="G131" s="37"/>
      <c r="H131" s="37"/>
    </row>
    <row r="132" spans="1:8" ht="16.5" customHeight="1">
      <c r="A132" s="28" t="s">
        <v>117</v>
      </c>
      <c r="B132" s="29">
        <v>1</v>
      </c>
      <c r="C132" s="30">
        <v>0.01</v>
      </c>
      <c r="D132" s="31">
        <f>B132*C132</f>
        <v>0.01</v>
      </c>
      <c r="E132" s="32"/>
      <c r="F132" s="32"/>
      <c r="G132" s="32"/>
      <c r="H132" s="32"/>
    </row>
    <row r="133" spans="1:8" ht="18" customHeight="1">
      <c r="A133" s="61" t="s">
        <v>74</v>
      </c>
      <c r="B133" s="62"/>
      <c r="C133" s="62"/>
      <c r="D133" s="63">
        <f>SUM(D130:D132)</f>
        <v>2.8780000000000001</v>
      </c>
      <c r="E133" s="62"/>
      <c r="F133" s="62"/>
      <c r="G133" s="62"/>
      <c r="H133" s="62"/>
    </row>
    <row r="134" spans="1:8" ht="21.75" customHeight="1">
      <c r="A134" s="41" t="s">
        <v>75</v>
      </c>
      <c r="B134" s="42"/>
      <c r="C134" s="42"/>
      <c r="D134" s="43">
        <f>D133</f>
        <v>2.8780000000000001</v>
      </c>
      <c r="E134" s="44">
        <v>15.9</v>
      </c>
      <c r="F134" s="45">
        <f>IF(E134=0,"—",(E134-D133)/E134)</f>
        <v>0.81899371069182392</v>
      </c>
      <c r="G134" s="46">
        <f>E134-D133</f>
        <v>13.022</v>
      </c>
      <c r="H134" s="47">
        <f>IF(E134=0,"—",(E134-D133)/E134)</f>
        <v>0.81899371069182392</v>
      </c>
    </row>
    <row r="135" spans="1:8" ht="4.5" customHeight="1">
      <c r="A135" s="48"/>
      <c r="B135" s="48"/>
      <c r="C135" s="48"/>
      <c r="D135" s="48"/>
      <c r="E135" s="48"/>
      <c r="F135" s="48"/>
      <c r="G135" s="48"/>
      <c r="H135" s="48"/>
    </row>
    <row r="136" spans="1:8" ht="19.5" customHeight="1">
      <c r="A136" s="26" t="s">
        <v>119</v>
      </c>
      <c r="B136" s="27"/>
      <c r="C136" s="27"/>
      <c r="D136" s="27"/>
      <c r="E136" s="27"/>
      <c r="F136" s="27"/>
      <c r="G136" s="27"/>
      <c r="H136" s="27"/>
    </row>
    <row r="137" spans="1:8" ht="16.5" customHeight="1">
      <c r="A137" s="28" t="s">
        <v>83</v>
      </c>
      <c r="B137" s="29">
        <v>40</v>
      </c>
      <c r="C137" s="30">
        <v>7.8600000000000003E-2</v>
      </c>
      <c r="D137" s="31">
        <f>B137*C137</f>
        <v>3.1440000000000001</v>
      </c>
      <c r="E137" s="32"/>
      <c r="F137" s="32"/>
      <c r="G137" s="32"/>
      <c r="H137" s="32"/>
    </row>
    <row r="138" spans="1:8" ht="16.5" customHeight="1">
      <c r="A138" s="33" t="s">
        <v>71</v>
      </c>
      <c r="B138" s="34">
        <v>100</v>
      </c>
      <c r="C138" s="35">
        <v>3.0000000000000001E-3</v>
      </c>
      <c r="D138" s="36">
        <f>B138*C138</f>
        <v>0.3</v>
      </c>
      <c r="E138" s="37"/>
      <c r="F138" s="37"/>
      <c r="G138" s="37"/>
      <c r="H138" s="37"/>
    </row>
    <row r="139" spans="1:8" ht="16.5" customHeight="1">
      <c r="A139" s="28" t="s">
        <v>81</v>
      </c>
      <c r="B139" s="29">
        <v>10</v>
      </c>
      <c r="C139" s="30">
        <v>3.0000000000000001E-3</v>
      </c>
      <c r="D139" s="31">
        <f>B139*C139</f>
        <v>0.03</v>
      </c>
      <c r="E139" s="32"/>
      <c r="F139" s="32"/>
      <c r="G139" s="32"/>
      <c r="H139" s="32"/>
    </row>
    <row r="140" spans="1:8" ht="18" customHeight="1">
      <c r="A140" s="61" t="s">
        <v>74</v>
      </c>
      <c r="B140" s="62"/>
      <c r="C140" s="62"/>
      <c r="D140" s="63">
        <f>SUM(D137:D139)</f>
        <v>3.4739999999999998</v>
      </c>
      <c r="E140" s="62"/>
      <c r="F140" s="62"/>
      <c r="G140" s="62"/>
      <c r="H140" s="62"/>
    </row>
    <row r="141" spans="1:8" ht="21.75" customHeight="1">
      <c r="A141" s="41" t="s">
        <v>75</v>
      </c>
      <c r="B141" s="42"/>
      <c r="C141" s="42"/>
      <c r="D141" s="43">
        <f>D140</f>
        <v>3.4739999999999998</v>
      </c>
      <c r="E141" s="44">
        <v>15.9</v>
      </c>
      <c r="F141" s="45">
        <f>IF(E141=0,"—",(E141-D140)/E141)</f>
        <v>0.78150943396226413</v>
      </c>
      <c r="G141" s="46">
        <f>E141-D140</f>
        <v>12.426</v>
      </c>
      <c r="H141" s="47">
        <f>IF(E141=0,"—",(E141-D140)/E141)</f>
        <v>0.78150943396226413</v>
      </c>
    </row>
    <row r="142" spans="1:8" ht="4.5" customHeight="1">
      <c r="A142" s="48"/>
      <c r="B142" s="48"/>
      <c r="C142" s="48"/>
      <c r="D142" s="48"/>
      <c r="E142" s="48"/>
      <c r="F142" s="48"/>
      <c r="G142" s="48"/>
      <c r="H142" s="48"/>
    </row>
    <row r="143" spans="1:8" ht="9.75" customHeight="1"/>
    <row r="145" spans="1:8" ht="25.5" customHeight="1">
      <c r="A145" s="64" t="s">
        <v>120</v>
      </c>
      <c r="B145" s="65"/>
      <c r="C145" s="65"/>
      <c r="D145" s="65"/>
      <c r="E145" s="65"/>
      <c r="F145" s="65"/>
      <c r="G145" s="65"/>
      <c r="H145" s="65"/>
    </row>
    <row r="146" spans="1:8" ht="18" customHeight="1">
      <c r="A146" s="66" t="s">
        <v>3</v>
      </c>
      <c r="B146" s="66" t="s">
        <v>121</v>
      </c>
      <c r="C146" s="67" t="s">
        <v>122</v>
      </c>
      <c r="D146" s="67" t="s">
        <v>64</v>
      </c>
      <c r="E146" s="67" t="s">
        <v>65</v>
      </c>
      <c r="F146" s="67" t="s">
        <v>66</v>
      </c>
      <c r="G146" s="67" t="s">
        <v>123</v>
      </c>
    </row>
    <row r="147" spans="1:8" ht="18" customHeight="1">
      <c r="A147" s="68" t="s">
        <v>6</v>
      </c>
      <c r="B147" s="69" t="s">
        <v>8</v>
      </c>
      <c r="C147" s="70">
        <f>D9</f>
        <v>3.0029999999999997</v>
      </c>
      <c r="D147" s="71">
        <f>E10</f>
        <v>9.9</v>
      </c>
      <c r="E147" s="72">
        <f>F10</f>
        <v>0.69666666666666666</v>
      </c>
      <c r="F147" s="73">
        <f>G10</f>
        <v>6.8970000000000002</v>
      </c>
      <c r="G147" s="74" t="str">
        <f>IF(F10="—","—",IF(F10&gt;=0.65,"✅ Yes","⚠ Below 65%"))</f>
        <v>✅ Yes</v>
      </c>
    </row>
    <row r="148" spans="1:8" ht="18" customHeight="1">
      <c r="A148" s="75" t="s">
        <v>9</v>
      </c>
      <c r="B148" s="69" t="s">
        <v>8</v>
      </c>
      <c r="C148" s="76">
        <f>D15</f>
        <v>3.84</v>
      </c>
      <c r="D148" s="71">
        <f>E16</f>
        <v>9.9</v>
      </c>
      <c r="E148" s="77">
        <f>F16</f>
        <v>0.61212121212121218</v>
      </c>
      <c r="F148" s="78">
        <f>G16</f>
        <v>6.0600000000000005</v>
      </c>
      <c r="G148" s="79" t="str">
        <f>IF(F16="—","—",IF(F16&gt;=0.65,"✅ Yes","⚠ Below 65%"))</f>
        <v>⚠ Below 65%</v>
      </c>
    </row>
    <row r="149" spans="1:8" ht="18" customHeight="1">
      <c r="A149" s="68" t="s">
        <v>11</v>
      </c>
      <c r="B149" s="69" t="s">
        <v>8</v>
      </c>
      <c r="C149" s="70">
        <f>D23</f>
        <v>3.5190000000000001</v>
      </c>
      <c r="D149" s="71">
        <f>E24</f>
        <v>9.9</v>
      </c>
      <c r="E149" s="72">
        <f>F24</f>
        <v>0.64454545454545453</v>
      </c>
      <c r="F149" s="73">
        <f>G24</f>
        <v>6.3810000000000002</v>
      </c>
      <c r="G149" s="74" t="str">
        <f>IF(F24="—","—",IF(F24&gt;=0.65,"✅ Yes","⚠ Below 65%"))</f>
        <v>⚠ Below 65%</v>
      </c>
    </row>
    <row r="150" spans="1:8" ht="18" customHeight="1">
      <c r="A150" s="75" t="s">
        <v>13</v>
      </c>
      <c r="B150" s="69" t="s">
        <v>8</v>
      </c>
      <c r="C150" s="76">
        <f>D31</f>
        <v>3.5190000000000001</v>
      </c>
      <c r="D150" s="71">
        <f>E32</f>
        <v>9.9</v>
      </c>
      <c r="E150" s="77">
        <f>F32</f>
        <v>0.64454545454545453</v>
      </c>
      <c r="F150" s="78">
        <f>G32</f>
        <v>6.3810000000000002</v>
      </c>
      <c r="G150" s="79" t="str">
        <f>IF(F32="—","—",IF(F32&gt;=0.65,"✅ Yes","⚠ Below 65%"))</f>
        <v>⚠ Below 65%</v>
      </c>
    </row>
    <row r="151" spans="1:8" ht="18" customHeight="1">
      <c r="A151" s="68" t="s">
        <v>15</v>
      </c>
      <c r="B151" s="69" t="s">
        <v>8</v>
      </c>
      <c r="C151" s="70">
        <f>D38</f>
        <v>3.4259999999999997</v>
      </c>
      <c r="D151" s="71">
        <f>E39</f>
        <v>9.9</v>
      </c>
      <c r="E151" s="72">
        <f>F39</f>
        <v>0.65393939393939393</v>
      </c>
      <c r="F151" s="73">
        <f>G39</f>
        <v>6.4740000000000002</v>
      </c>
      <c r="G151" s="74" t="str">
        <f>IF(F39="—","—",IF(F39&gt;=0.65,"✅ Yes","⚠ Below 65%"))</f>
        <v>✅ Yes</v>
      </c>
    </row>
    <row r="152" spans="1:8" ht="18" customHeight="1">
      <c r="A152" s="75" t="s">
        <v>17</v>
      </c>
      <c r="B152" s="69" t="s">
        <v>8</v>
      </c>
      <c r="C152" s="76">
        <f>D45</f>
        <v>2.1709999999999998</v>
      </c>
      <c r="D152" s="71">
        <f>E46</f>
        <v>9.9</v>
      </c>
      <c r="E152" s="77">
        <f>F46</f>
        <v>0.78070707070707079</v>
      </c>
      <c r="F152" s="78">
        <f>G46</f>
        <v>7.729000000000001</v>
      </c>
      <c r="G152" s="79" t="str">
        <f>IF(F46="—","—",IF(F46&gt;=0.65,"✅ Yes","⚠ Below 65%"))</f>
        <v>✅ Yes</v>
      </c>
    </row>
    <row r="153" spans="1:8" ht="18" customHeight="1">
      <c r="A153" s="68" t="s">
        <v>19</v>
      </c>
      <c r="B153" s="69" t="s">
        <v>8</v>
      </c>
      <c r="C153" s="70">
        <f>D52</f>
        <v>4.8719999999999999</v>
      </c>
      <c r="D153" s="71">
        <f>E53</f>
        <v>9.9</v>
      </c>
      <c r="E153" s="72">
        <f>F53</f>
        <v>0.50787878787878793</v>
      </c>
      <c r="F153" s="73">
        <f>G53</f>
        <v>5.0280000000000005</v>
      </c>
      <c r="G153" s="74" t="str">
        <f>IF(F53="—","—",IF(F53&gt;=0.65,"✅ Yes","⚠ Below 65%"))</f>
        <v>⚠ Below 65%</v>
      </c>
    </row>
    <row r="154" spans="1:8" ht="18" customHeight="1">
      <c r="A154" s="75" t="s">
        <v>21</v>
      </c>
      <c r="B154" s="69" t="s">
        <v>8</v>
      </c>
      <c r="C154" s="76">
        <f>D60</f>
        <v>4.5179999999999989</v>
      </c>
      <c r="D154" s="71">
        <f>E61</f>
        <v>9.9</v>
      </c>
      <c r="E154" s="77">
        <f>F61</f>
        <v>0.54363636363636381</v>
      </c>
      <c r="F154" s="78">
        <f>G61</f>
        <v>5.3820000000000014</v>
      </c>
      <c r="G154" s="79" t="str">
        <f>IF(F61="—","—",IF(F61&gt;=0.65,"✅ Yes","⚠ Below 65%"))</f>
        <v>⚠ Below 65%</v>
      </c>
    </row>
    <row r="155" spans="1:8" ht="18" customHeight="1">
      <c r="A155" s="68" t="s">
        <v>30</v>
      </c>
      <c r="B155" s="80" t="s">
        <v>32</v>
      </c>
      <c r="C155" s="70">
        <f>D71</f>
        <v>4.1440000000000001</v>
      </c>
      <c r="D155" s="71">
        <f>E72</f>
        <v>9.9</v>
      </c>
      <c r="E155" s="72">
        <f>F72</f>
        <v>0.58141414141414138</v>
      </c>
      <c r="F155" s="73">
        <f>G72</f>
        <v>5.7560000000000002</v>
      </c>
      <c r="G155" s="74" t="str">
        <f>IF(F72="—","—",IF(F72&gt;=0.65,"✅ Yes","⚠ Below 65%"))</f>
        <v>⚠ Below 65%</v>
      </c>
    </row>
    <row r="156" spans="1:8" ht="18" customHeight="1">
      <c r="A156" s="75" t="s">
        <v>33</v>
      </c>
      <c r="B156" s="80" t="s">
        <v>32</v>
      </c>
      <c r="C156" s="76">
        <f>D80</f>
        <v>4.1440000000000001</v>
      </c>
      <c r="D156" s="71">
        <f>E81</f>
        <v>9.9</v>
      </c>
      <c r="E156" s="77">
        <f>F81</f>
        <v>0.58141414141414138</v>
      </c>
      <c r="F156" s="78">
        <f>G81</f>
        <v>5.7560000000000002</v>
      </c>
      <c r="G156" s="79" t="str">
        <f>IF(F81="—","—",IF(F81&gt;=0.65,"✅ Yes","⚠ Below 65%"))</f>
        <v>⚠ Below 65%</v>
      </c>
    </row>
    <row r="157" spans="1:8" ht="18" customHeight="1">
      <c r="A157" s="68" t="s">
        <v>35</v>
      </c>
      <c r="B157" s="80" t="s">
        <v>32</v>
      </c>
      <c r="C157" s="70">
        <f>D89</f>
        <v>4.1440000000000001</v>
      </c>
      <c r="D157" s="71">
        <f>E90</f>
        <v>9.9</v>
      </c>
      <c r="E157" s="72">
        <f>F90</f>
        <v>0.58141414141414138</v>
      </c>
      <c r="F157" s="73">
        <f>G90</f>
        <v>5.7560000000000002</v>
      </c>
      <c r="G157" s="74" t="str">
        <f>IF(F90="—","—",IF(F90&gt;=0.65,"✅ Yes","⚠ Below 65%"))</f>
        <v>⚠ Below 65%</v>
      </c>
    </row>
    <row r="158" spans="1:8" ht="18" customHeight="1">
      <c r="A158" s="75" t="s">
        <v>37</v>
      </c>
      <c r="B158" s="80" t="s">
        <v>32</v>
      </c>
      <c r="C158" s="76">
        <f>D98</f>
        <v>4.1440000000000001</v>
      </c>
      <c r="D158" s="71">
        <f>E99</f>
        <v>9.9</v>
      </c>
      <c r="E158" s="77">
        <f>F99</f>
        <v>0.58141414141414138</v>
      </c>
      <c r="F158" s="78">
        <f>G99</f>
        <v>5.7560000000000002</v>
      </c>
      <c r="G158" s="79" t="str">
        <f>IF(F99="—","—",IF(F99&gt;=0.65,"✅ Yes","⚠ Below 65%"))</f>
        <v>⚠ Below 65%</v>
      </c>
    </row>
    <row r="159" spans="1:8" ht="18" customHeight="1">
      <c r="A159" s="68" t="s">
        <v>24</v>
      </c>
      <c r="B159" s="81" t="s">
        <v>26</v>
      </c>
      <c r="C159" s="70">
        <f>D108</f>
        <v>11.152999999999999</v>
      </c>
      <c r="D159" s="71">
        <f>E109</f>
        <v>19.899999999999999</v>
      </c>
      <c r="E159" s="72">
        <f>F109</f>
        <v>0.43954773869346736</v>
      </c>
      <c r="F159" s="73">
        <f>G109</f>
        <v>8.7469999999999999</v>
      </c>
      <c r="G159" s="74" t="str">
        <f>IF(F109="—","—",IF(F109&gt;=0.65,"✅ Yes","⚠ Below 65%"))</f>
        <v>⚠ Below 65%</v>
      </c>
    </row>
    <row r="160" spans="1:8" ht="18" customHeight="1">
      <c r="A160" s="75" t="s">
        <v>27</v>
      </c>
      <c r="B160" s="81" t="s">
        <v>26</v>
      </c>
      <c r="C160" s="76">
        <f>D116</f>
        <v>15.823999999999998</v>
      </c>
      <c r="D160" s="71">
        <f>E117</f>
        <v>19.899999999999999</v>
      </c>
      <c r="E160" s="77">
        <f>F117</f>
        <v>0.20482412060301511</v>
      </c>
      <c r="F160" s="78">
        <f>G117</f>
        <v>4.0760000000000005</v>
      </c>
      <c r="G160" s="79" t="str">
        <f>IF(F117="—","—",IF(F117&gt;=0.65,"✅ Yes","⚠ Below 65%"))</f>
        <v>⚠ Below 65%</v>
      </c>
    </row>
    <row r="161" spans="1:7" ht="18" customHeight="1">
      <c r="A161" s="68" t="s">
        <v>40</v>
      </c>
      <c r="B161" s="82" t="s">
        <v>42</v>
      </c>
      <c r="C161" s="70">
        <f>D126</f>
        <v>4.4499999999999993</v>
      </c>
      <c r="D161" s="71">
        <f>E127</f>
        <v>15.9</v>
      </c>
      <c r="E161" s="72">
        <f>F127</f>
        <v>0.72012578616352207</v>
      </c>
      <c r="F161" s="73">
        <f>G127</f>
        <v>11.450000000000001</v>
      </c>
      <c r="G161" s="74" t="str">
        <f>IF(F127="—","—",IF(F127&gt;=0.65,"✅ Yes","⚠ Below 65%"))</f>
        <v>✅ Yes</v>
      </c>
    </row>
    <row r="162" spans="1:7" ht="18" customHeight="1">
      <c r="A162" s="75" t="s">
        <v>43</v>
      </c>
      <c r="B162" s="82" t="s">
        <v>42</v>
      </c>
      <c r="C162" s="76">
        <f>D133</f>
        <v>2.8780000000000001</v>
      </c>
      <c r="D162" s="71">
        <f>E134</f>
        <v>15.9</v>
      </c>
      <c r="E162" s="77">
        <f>F134</f>
        <v>0.81899371069182392</v>
      </c>
      <c r="F162" s="78">
        <f>G134</f>
        <v>13.022</v>
      </c>
      <c r="G162" s="79" t="str">
        <f>IF(F134="—","—",IF(F134&gt;=0.65,"✅ Yes","⚠ Below 65%"))</f>
        <v>✅ Yes</v>
      </c>
    </row>
    <row r="163" spans="1:7" ht="18" customHeight="1">
      <c r="A163" s="68" t="s">
        <v>45</v>
      </c>
      <c r="B163" s="82" t="s">
        <v>42</v>
      </c>
      <c r="C163" s="70">
        <f>D140</f>
        <v>3.4739999999999998</v>
      </c>
      <c r="D163" s="71">
        <f>E141</f>
        <v>15.9</v>
      </c>
      <c r="E163" s="72">
        <f>F141</f>
        <v>0.78150943396226413</v>
      </c>
      <c r="F163" s="73">
        <f>G141</f>
        <v>12.426</v>
      </c>
      <c r="G163" s="74" t="str">
        <f>IF(F141="—","—",IF(F141&gt;=0.65,"✅ Yes","⚠ Below 65%"))</f>
        <v>✅ Yes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8A96E"/>
  </sheetPr>
  <dimension ref="A1:N38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N1"/>
    </sheetView>
  </sheetViews>
  <sheetFormatPr baseColWidth="10" defaultColWidth="8.6640625" defaultRowHeight="15"/>
  <cols>
    <col min="1" max="1" width="32" customWidth="1"/>
    <col min="2" max="4" width="12" customWidth="1"/>
    <col min="5" max="14" width="9" customWidth="1"/>
  </cols>
  <sheetData>
    <row r="1" spans="1:14" ht="37.5" customHeight="1">
      <c r="A1" s="3" t="s">
        <v>124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8" customHeight="1">
      <c r="A2" s="2" t="s">
        <v>125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4" customHeight="1">
      <c r="A3" s="83" t="s">
        <v>126</v>
      </c>
      <c r="B3" s="84" t="s">
        <v>127</v>
      </c>
      <c r="C3" s="84" t="s">
        <v>128</v>
      </c>
      <c r="D3" s="85" t="s">
        <v>129</v>
      </c>
      <c r="E3" s="85" t="s">
        <v>130</v>
      </c>
      <c r="F3" s="85" t="s">
        <v>131</v>
      </c>
      <c r="G3" s="85" t="s">
        <v>132</v>
      </c>
      <c r="H3" s="85" t="s">
        <v>133</v>
      </c>
      <c r="I3" s="85" t="s">
        <v>134</v>
      </c>
      <c r="J3" s="85" t="s">
        <v>135</v>
      </c>
      <c r="K3" s="85" t="s">
        <v>136</v>
      </c>
      <c r="L3" s="85" t="s">
        <v>137</v>
      </c>
      <c r="M3" s="85" t="s">
        <v>138</v>
      </c>
      <c r="N3" s="85" t="s">
        <v>139</v>
      </c>
    </row>
    <row r="4" spans="1:14" ht="18.75" customHeight="1">
      <c r="A4" s="86" t="s">
        <v>140</v>
      </c>
      <c r="B4" s="87">
        <v>700</v>
      </c>
      <c r="C4" s="88">
        <v>50</v>
      </c>
      <c r="D4" s="89">
        <f t="shared" ref="D4:D17" si="0">IF(OR(B4="",B4=0,C4="",C4=0),"",C4/B4)</f>
        <v>7.1428571428571425E-2</v>
      </c>
      <c r="E4" s="90">
        <f t="shared" ref="E4:E17" si="1">IF(D4="","",10*D4)</f>
        <v>0.71428571428571419</v>
      </c>
      <c r="F4" s="90">
        <f t="shared" ref="F4:F17" si="2">IF(D4="","",20*D4)</f>
        <v>1.4285714285714284</v>
      </c>
      <c r="G4" s="90">
        <f t="shared" ref="G4:G17" si="3">IF(D4="","",30*D4)</f>
        <v>2.1428571428571428</v>
      </c>
      <c r="H4" s="90">
        <f t="shared" ref="H4:H17" si="4">IF(D4="","",40*D4)</f>
        <v>2.8571428571428568</v>
      </c>
      <c r="I4" s="90">
        <f t="shared" ref="I4:I17" si="5">IF(D4="","",45*D4)</f>
        <v>3.214285714285714</v>
      </c>
      <c r="J4" s="90">
        <f t="shared" ref="J4:J17" si="6">IF(D4="","",50*D4)</f>
        <v>3.5714285714285712</v>
      </c>
      <c r="K4" s="90">
        <f t="shared" ref="K4:K17" si="7">IF(D4="","",60*D4)</f>
        <v>4.2857142857142856</v>
      </c>
      <c r="L4" s="90">
        <f t="shared" ref="L4:L17" si="8">IF(D4="","",70*D4)</f>
        <v>5</v>
      </c>
      <c r="M4" s="90">
        <f t="shared" ref="M4:M17" si="9">IF(D4="","",80*D4)</f>
        <v>5.7142857142857135</v>
      </c>
      <c r="N4" s="90">
        <f t="shared" ref="N4:N17" si="10">IF(D4="","",100*D4)</f>
        <v>7.1428571428571423</v>
      </c>
    </row>
    <row r="5" spans="1:14" ht="18.75" customHeight="1">
      <c r="A5" s="91" t="s">
        <v>141</v>
      </c>
      <c r="B5" s="92">
        <v>500</v>
      </c>
      <c r="C5" s="93">
        <v>22</v>
      </c>
      <c r="D5" s="89">
        <f t="shared" si="0"/>
        <v>4.3999999999999997E-2</v>
      </c>
      <c r="E5" s="94">
        <f t="shared" si="1"/>
        <v>0.43999999999999995</v>
      </c>
      <c r="F5" s="94">
        <f t="shared" si="2"/>
        <v>0.87999999999999989</v>
      </c>
      <c r="G5" s="94">
        <f t="shared" si="3"/>
        <v>1.3199999999999998</v>
      </c>
      <c r="H5" s="94">
        <f t="shared" si="4"/>
        <v>1.7599999999999998</v>
      </c>
      <c r="I5" s="94">
        <f t="shared" si="5"/>
        <v>1.98</v>
      </c>
      <c r="J5" s="94">
        <f t="shared" si="6"/>
        <v>2.1999999999999997</v>
      </c>
      <c r="K5" s="94">
        <f t="shared" si="7"/>
        <v>2.6399999999999997</v>
      </c>
      <c r="L5" s="94">
        <f t="shared" si="8"/>
        <v>3.0799999999999996</v>
      </c>
      <c r="M5" s="94">
        <f t="shared" si="9"/>
        <v>3.5199999999999996</v>
      </c>
      <c r="N5" s="94">
        <f t="shared" si="10"/>
        <v>4.3999999999999995</v>
      </c>
    </row>
    <row r="6" spans="1:14" ht="18.75" customHeight="1">
      <c r="A6" s="86" t="s">
        <v>142</v>
      </c>
      <c r="B6" s="87">
        <v>700</v>
      </c>
      <c r="C6" s="88">
        <v>50</v>
      </c>
      <c r="D6" s="89">
        <f t="shared" si="0"/>
        <v>7.1428571428571425E-2</v>
      </c>
      <c r="E6" s="90">
        <f t="shared" si="1"/>
        <v>0.71428571428571419</v>
      </c>
      <c r="F6" s="90">
        <f t="shared" si="2"/>
        <v>1.4285714285714284</v>
      </c>
      <c r="G6" s="90">
        <f t="shared" si="3"/>
        <v>2.1428571428571428</v>
      </c>
      <c r="H6" s="90">
        <f t="shared" si="4"/>
        <v>2.8571428571428568</v>
      </c>
      <c r="I6" s="90">
        <f t="shared" si="5"/>
        <v>3.214285714285714</v>
      </c>
      <c r="J6" s="90">
        <f t="shared" si="6"/>
        <v>3.5714285714285712</v>
      </c>
      <c r="K6" s="90">
        <f t="shared" si="7"/>
        <v>4.2857142857142856</v>
      </c>
      <c r="L6" s="90">
        <f t="shared" si="8"/>
        <v>5</v>
      </c>
      <c r="M6" s="90">
        <f t="shared" si="9"/>
        <v>5.7142857142857135</v>
      </c>
      <c r="N6" s="90">
        <f t="shared" si="10"/>
        <v>7.1428571428571423</v>
      </c>
    </row>
    <row r="7" spans="1:14" ht="18.75" customHeight="1">
      <c r="A7" s="91" t="s">
        <v>143</v>
      </c>
      <c r="B7" s="92">
        <v>500</v>
      </c>
      <c r="C7" s="93">
        <v>39.299999999999997</v>
      </c>
      <c r="D7" s="89">
        <f t="shared" si="0"/>
        <v>7.8599999999999989E-2</v>
      </c>
      <c r="E7" s="94">
        <f t="shared" si="1"/>
        <v>0.78599999999999992</v>
      </c>
      <c r="F7" s="94">
        <f t="shared" si="2"/>
        <v>1.5719999999999998</v>
      </c>
      <c r="G7" s="94">
        <f t="shared" si="3"/>
        <v>2.3579999999999997</v>
      </c>
      <c r="H7" s="94">
        <f t="shared" si="4"/>
        <v>3.1439999999999997</v>
      </c>
      <c r="I7" s="94">
        <f t="shared" si="5"/>
        <v>3.5369999999999995</v>
      </c>
      <c r="J7" s="94">
        <f t="shared" si="6"/>
        <v>3.9299999999999993</v>
      </c>
      <c r="K7" s="94">
        <f t="shared" si="7"/>
        <v>4.7159999999999993</v>
      </c>
      <c r="L7" s="94">
        <f t="shared" si="8"/>
        <v>5.5019999999999989</v>
      </c>
      <c r="M7" s="94">
        <f t="shared" si="9"/>
        <v>6.2879999999999994</v>
      </c>
      <c r="N7" s="94">
        <f t="shared" si="10"/>
        <v>7.8599999999999985</v>
      </c>
    </row>
    <row r="8" spans="1:14" ht="18.75" customHeight="1">
      <c r="A8" s="86" t="s">
        <v>144</v>
      </c>
      <c r="B8" s="87">
        <v>700</v>
      </c>
      <c r="C8" s="88">
        <v>46</v>
      </c>
      <c r="D8" s="89">
        <f t="shared" si="0"/>
        <v>6.5714285714285711E-2</v>
      </c>
      <c r="E8" s="90">
        <f t="shared" si="1"/>
        <v>0.65714285714285714</v>
      </c>
      <c r="F8" s="90">
        <f t="shared" si="2"/>
        <v>1.3142857142857143</v>
      </c>
      <c r="G8" s="90">
        <f t="shared" si="3"/>
        <v>1.9714285714285713</v>
      </c>
      <c r="H8" s="90">
        <f t="shared" si="4"/>
        <v>2.6285714285714286</v>
      </c>
      <c r="I8" s="90">
        <f t="shared" si="5"/>
        <v>2.9571428571428569</v>
      </c>
      <c r="J8" s="90">
        <f t="shared" si="6"/>
        <v>3.2857142857142856</v>
      </c>
      <c r="K8" s="90">
        <f t="shared" si="7"/>
        <v>3.9428571428571426</v>
      </c>
      <c r="L8" s="90">
        <f t="shared" si="8"/>
        <v>4.5999999999999996</v>
      </c>
      <c r="M8" s="90">
        <f t="shared" si="9"/>
        <v>5.2571428571428571</v>
      </c>
      <c r="N8" s="90">
        <f t="shared" si="10"/>
        <v>6.5714285714285712</v>
      </c>
    </row>
    <row r="9" spans="1:14" ht="18.75" customHeight="1">
      <c r="A9" s="91" t="s">
        <v>145</v>
      </c>
      <c r="B9" s="92">
        <v>750</v>
      </c>
      <c r="C9" s="93">
        <v>99</v>
      </c>
      <c r="D9" s="89">
        <f t="shared" si="0"/>
        <v>0.13200000000000001</v>
      </c>
      <c r="E9" s="94">
        <f t="shared" si="1"/>
        <v>1.32</v>
      </c>
      <c r="F9" s="94">
        <f t="shared" si="2"/>
        <v>2.64</v>
      </c>
      <c r="G9" s="94">
        <f t="shared" si="3"/>
        <v>3.96</v>
      </c>
      <c r="H9" s="94">
        <f t="shared" si="4"/>
        <v>5.28</v>
      </c>
      <c r="I9" s="94">
        <f t="shared" si="5"/>
        <v>5.94</v>
      </c>
      <c r="J9" s="94">
        <f t="shared" si="6"/>
        <v>6.6000000000000005</v>
      </c>
      <c r="K9" s="94">
        <f t="shared" si="7"/>
        <v>7.92</v>
      </c>
      <c r="L9" s="94">
        <f t="shared" si="8"/>
        <v>9.24</v>
      </c>
      <c r="M9" s="94">
        <f t="shared" si="9"/>
        <v>10.56</v>
      </c>
      <c r="N9" s="94">
        <f t="shared" si="10"/>
        <v>13.200000000000001</v>
      </c>
    </row>
    <row r="10" spans="1:14" ht="18.75" customHeight="1">
      <c r="A10" s="86" t="s">
        <v>146</v>
      </c>
      <c r="B10" s="87">
        <v>700</v>
      </c>
      <c r="C10" s="88">
        <v>70</v>
      </c>
      <c r="D10" s="89">
        <f t="shared" si="0"/>
        <v>0.1</v>
      </c>
      <c r="E10" s="90">
        <f t="shared" si="1"/>
        <v>1</v>
      </c>
      <c r="F10" s="90">
        <f t="shared" si="2"/>
        <v>2</v>
      </c>
      <c r="G10" s="90">
        <f t="shared" si="3"/>
        <v>3</v>
      </c>
      <c r="H10" s="90">
        <f t="shared" si="4"/>
        <v>4</v>
      </c>
      <c r="I10" s="90">
        <f t="shared" si="5"/>
        <v>4.5</v>
      </c>
      <c r="J10" s="90">
        <f t="shared" si="6"/>
        <v>5</v>
      </c>
      <c r="K10" s="90">
        <f t="shared" si="7"/>
        <v>6</v>
      </c>
      <c r="L10" s="90">
        <f t="shared" si="8"/>
        <v>7</v>
      </c>
      <c r="M10" s="90">
        <f t="shared" si="9"/>
        <v>8</v>
      </c>
      <c r="N10" s="90">
        <f t="shared" si="10"/>
        <v>10</v>
      </c>
    </row>
    <row r="11" spans="1:14" ht="18.75" customHeight="1">
      <c r="A11" s="91" t="s">
        <v>147</v>
      </c>
      <c r="B11" s="92">
        <v>750</v>
      </c>
      <c r="C11" s="93">
        <v>50</v>
      </c>
      <c r="D11" s="89">
        <f t="shared" si="0"/>
        <v>6.6666666666666666E-2</v>
      </c>
      <c r="E11" s="94">
        <f t="shared" si="1"/>
        <v>0.66666666666666663</v>
      </c>
      <c r="F11" s="94">
        <f t="shared" si="2"/>
        <v>1.3333333333333333</v>
      </c>
      <c r="G11" s="94">
        <f t="shared" si="3"/>
        <v>2</v>
      </c>
      <c r="H11" s="94">
        <f t="shared" si="4"/>
        <v>2.6666666666666665</v>
      </c>
      <c r="I11" s="94">
        <f t="shared" si="5"/>
        <v>3</v>
      </c>
      <c r="J11" s="94">
        <f t="shared" si="6"/>
        <v>3.3333333333333335</v>
      </c>
      <c r="K11" s="94">
        <f t="shared" si="7"/>
        <v>4</v>
      </c>
      <c r="L11" s="94">
        <f t="shared" si="8"/>
        <v>4.666666666666667</v>
      </c>
      <c r="M11" s="94">
        <f t="shared" si="9"/>
        <v>5.333333333333333</v>
      </c>
      <c r="N11" s="94">
        <f t="shared" si="10"/>
        <v>6.666666666666667</v>
      </c>
    </row>
    <row r="12" spans="1:14" ht="18.75" customHeight="1">
      <c r="A12" s="86" t="s">
        <v>148</v>
      </c>
      <c r="B12" s="87">
        <v>720</v>
      </c>
      <c r="C12" s="88">
        <v>40</v>
      </c>
      <c r="D12" s="89">
        <f t="shared" si="0"/>
        <v>5.5555555555555552E-2</v>
      </c>
      <c r="E12" s="90">
        <f t="shared" si="1"/>
        <v>0.55555555555555558</v>
      </c>
      <c r="F12" s="90">
        <f t="shared" si="2"/>
        <v>1.1111111111111112</v>
      </c>
      <c r="G12" s="90">
        <f t="shared" si="3"/>
        <v>1.6666666666666665</v>
      </c>
      <c r="H12" s="90">
        <f t="shared" si="4"/>
        <v>2.2222222222222223</v>
      </c>
      <c r="I12" s="90">
        <f t="shared" si="5"/>
        <v>2.5</v>
      </c>
      <c r="J12" s="90">
        <f t="shared" si="6"/>
        <v>2.7777777777777777</v>
      </c>
      <c r="K12" s="90">
        <f t="shared" si="7"/>
        <v>3.333333333333333</v>
      </c>
      <c r="L12" s="90">
        <f t="shared" si="8"/>
        <v>3.8888888888888888</v>
      </c>
      <c r="M12" s="90">
        <f t="shared" si="9"/>
        <v>4.4444444444444446</v>
      </c>
      <c r="N12" s="90">
        <f t="shared" si="10"/>
        <v>5.5555555555555554</v>
      </c>
    </row>
    <row r="13" spans="1:14" ht="18.75" customHeight="1">
      <c r="A13" s="91" t="s">
        <v>149</v>
      </c>
      <c r="B13" s="92">
        <v>700</v>
      </c>
      <c r="C13" s="93">
        <v>55</v>
      </c>
      <c r="D13" s="89">
        <f t="shared" si="0"/>
        <v>7.857142857142857E-2</v>
      </c>
      <c r="E13" s="94">
        <f t="shared" si="1"/>
        <v>0.7857142857142857</v>
      </c>
      <c r="F13" s="94">
        <f t="shared" si="2"/>
        <v>1.5714285714285714</v>
      </c>
      <c r="G13" s="94">
        <f t="shared" si="3"/>
        <v>2.3571428571428572</v>
      </c>
      <c r="H13" s="94">
        <f t="shared" si="4"/>
        <v>3.1428571428571428</v>
      </c>
      <c r="I13" s="94">
        <f t="shared" si="5"/>
        <v>3.5357142857142856</v>
      </c>
      <c r="J13" s="94">
        <f t="shared" si="6"/>
        <v>3.9285714285714284</v>
      </c>
      <c r="K13" s="94">
        <f t="shared" si="7"/>
        <v>4.7142857142857144</v>
      </c>
      <c r="L13" s="94">
        <f t="shared" si="8"/>
        <v>5.5</v>
      </c>
      <c r="M13" s="94">
        <f t="shared" si="9"/>
        <v>6.2857142857142856</v>
      </c>
      <c r="N13" s="94">
        <f t="shared" si="10"/>
        <v>7.8571428571428568</v>
      </c>
    </row>
    <row r="14" spans="1:14" ht="18.75" customHeight="1">
      <c r="A14" s="86" t="s">
        <v>150</v>
      </c>
      <c r="B14" s="87">
        <v>1000</v>
      </c>
      <c r="C14" s="88">
        <v>45</v>
      </c>
      <c r="D14" s="89">
        <f t="shared" si="0"/>
        <v>4.4999999999999998E-2</v>
      </c>
      <c r="E14" s="90">
        <f t="shared" si="1"/>
        <v>0.44999999999999996</v>
      </c>
      <c r="F14" s="90">
        <f t="shared" si="2"/>
        <v>0.89999999999999991</v>
      </c>
      <c r="G14" s="90">
        <f t="shared" si="3"/>
        <v>1.3499999999999999</v>
      </c>
      <c r="H14" s="90">
        <f t="shared" si="4"/>
        <v>1.7999999999999998</v>
      </c>
      <c r="I14" s="90">
        <f t="shared" si="5"/>
        <v>2.0249999999999999</v>
      </c>
      <c r="J14" s="90">
        <f t="shared" si="6"/>
        <v>2.25</v>
      </c>
      <c r="K14" s="90">
        <f t="shared" si="7"/>
        <v>2.6999999999999997</v>
      </c>
      <c r="L14" s="90">
        <f t="shared" si="8"/>
        <v>3.15</v>
      </c>
      <c r="M14" s="90">
        <f t="shared" si="9"/>
        <v>3.5999999999999996</v>
      </c>
      <c r="N14" s="90">
        <f t="shared" si="10"/>
        <v>4.5</v>
      </c>
    </row>
    <row r="15" spans="1:14" ht="18.75" customHeight="1">
      <c r="A15" s="91" t="s">
        <v>151</v>
      </c>
      <c r="B15" s="92">
        <v>700</v>
      </c>
      <c r="C15" s="93">
        <v>30</v>
      </c>
      <c r="D15" s="89">
        <f t="shared" si="0"/>
        <v>4.2857142857142858E-2</v>
      </c>
      <c r="E15" s="94">
        <f t="shared" si="1"/>
        <v>0.4285714285714286</v>
      </c>
      <c r="F15" s="94">
        <f t="shared" si="2"/>
        <v>0.85714285714285721</v>
      </c>
      <c r="G15" s="94">
        <f t="shared" si="3"/>
        <v>1.2857142857142858</v>
      </c>
      <c r="H15" s="94">
        <f t="shared" si="4"/>
        <v>1.7142857142857144</v>
      </c>
      <c r="I15" s="94">
        <f t="shared" si="5"/>
        <v>1.9285714285714286</v>
      </c>
      <c r="J15" s="94">
        <f t="shared" si="6"/>
        <v>2.1428571428571428</v>
      </c>
      <c r="K15" s="94">
        <f t="shared" si="7"/>
        <v>2.5714285714285716</v>
      </c>
      <c r="L15" s="94">
        <f t="shared" si="8"/>
        <v>3</v>
      </c>
      <c r="M15" s="94">
        <f t="shared" si="9"/>
        <v>3.4285714285714288</v>
      </c>
      <c r="N15" s="94">
        <f t="shared" si="10"/>
        <v>4.2857142857142856</v>
      </c>
    </row>
    <row r="16" spans="1:14" ht="18.75" customHeight="1">
      <c r="A16" s="86" t="s">
        <v>152</v>
      </c>
      <c r="B16" s="87">
        <v>1500</v>
      </c>
      <c r="C16" s="88">
        <v>2.1</v>
      </c>
      <c r="D16" s="89">
        <f t="shared" si="0"/>
        <v>1.4E-3</v>
      </c>
      <c r="E16" s="90">
        <f t="shared" si="1"/>
        <v>1.4E-2</v>
      </c>
      <c r="F16" s="90">
        <f t="shared" si="2"/>
        <v>2.8000000000000001E-2</v>
      </c>
      <c r="G16" s="90">
        <f t="shared" si="3"/>
        <v>4.2000000000000003E-2</v>
      </c>
      <c r="H16" s="90">
        <f t="shared" si="4"/>
        <v>5.6000000000000001E-2</v>
      </c>
      <c r="I16" s="90">
        <f t="shared" si="5"/>
        <v>6.3E-2</v>
      </c>
      <c r="J16" s="90">
        <f t="shared" si="6"/>
        <v>6.9999999999999993E-2</v>
      </c>
      <c r="K16" s="90">
        <f t="shared" si="7"/>
        <v>8.4000000000000005E-2</v>
      </c>
      <c r="L16" s="90">
        <f t="shared" si="8"/>
        <v>9.8000000000000004E-2</v>
      </c>
      <c r="M16" s="90">
        <f t="shared" si="9"/>
        <v>0.112</v>
      </c>
      <c r="N16" s="90">
        <f t="shared" si="10"/>
        <v>0.13999999999999999</v>
      </c>
    </row>
    <row r="17" spans="1:14" ht="18.75" customHeight="1">
      <c r="A17" s="91" t="s">
        <v>153</v>
      </c>
      <c r="B17" s="92">
        <v>720</v>
      </c>
      <c r="C17" s="93">
        <v>27</v>
      </c>
      <c r="D17" s="89">
        <f t="shared" si="0"/>
        <v>3.7499999999999999E-2</v>
      </c>
      <c r="E17" s="94">
        <f t="shared" si="1"/>
        <v>0.375</v>
      </c>
      <c r="F17" s="94">
        <f t="shared" si="2"/>
        <v>0.75</v>
      </c>
      <c r="G17" s="94">
        <f t="shared" si="3"/>
        <v>1.125</v>
      </c>
      <c r="H17" s="94">
        <f t="shared" si="4"/>
        <v>1.5</v>
      </c>
      <c r="I17" s="94">
        <f t="shared" si="5"/>
        <v>1.6875</v>
      </c>
      <c r="J17" s="94">
        <f t="shared" si="6"/>
        <v>1.875</v>
      </c>
      <c r="K17" s="94">
        <f t="shared" si="7"/>
        <v>2.25</v>
      </c>
      <c r="L17" s="94">
        <f t="shared" si="8"/>
        <v>2.625</v>
      </c>
      <c r="M17" s="94">
        <f t="shared" si="9"/>
        <v>3</v>
      </c>
      <c r="N17" s="94">
        <f t="shared" si="10"/>
        <v>3.75</v>
      </c>
    </row>
    <row r="18" spans="1:14" ht="13.5" customHeight="1">
      <c r="A18" s="1" t="s">
        <v>154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8.75" customHeight="1">
      <c r="A19" s="95"/>
      <c r="B19" s="96"/>
      <c r="C19" s="97"/>
      <c r="D19" s="98" t="str">
        <f t="shared" ref="D19:D38" si="11">IF(OR(B19="",B19=0,C19="",C19=0),"",C19/B19)</f>
        <v/>
      </c>
      <c r="E19" s="99" t="str">
        <f t="shared" ref="E19:E38" si="12">IF(D19="","",10*D19)</f>
        <v/>
      </c>
      <c r="F19" s="99" t="str">
        <f t="shared" ref="F19:F38" si="13">IF(D19="","",20*D19)</f>
        <v/>
      </c>
      <c r="G19" s="99" t="str">
        <f t="shared" ref="G19:G38" si="14">IF(D19="","",30*D19)</f>
        <v/>
      </c>
      <c r="H19" s="99" t="str">
        <f t="shared" ref="H19:H38" si="15">IF(D19="","",40*D19)</f>
        <v/>
      </c>
      <c r="I19" s="99" t="str">
        <f t="shared" ref="I19:I38" si="16">IF(D19="","",45*D19)</f>
        <v/>
      </c>
      <c r="J19" s="99" t="str">
        <f t="shared" ref="J19:J38" si="17">IF(D19="","",50*D19)</f>
        <v/>
      </c>
      <c r="K19" s="99" t="str">
        <f t="shared" ref="K19:K38" si="18">IF(D19="","",60*D19)</f>
        <v/>
      </c>
      <c r="L19" s="99" t="str">
        <f t="shared" ref="L19:L38" si="19">IF(D19="","",70*D19)</f>
        <v/>
      </c>
      <c r="M19" s="99" t="str">
        <f t="shared" ref="M19:M38" si="20">IF(D19="","",80*D19)</f>
        <v/>
      </c>
      <c r="N19" s="99" t="str">
        <f t="shared" ref="N19:N38" si="21">IF(D19="","",100*D19)</f>
        <v/>
      </c>
    </row>
    <row r="20" spans="1:14" ht="18.75" customHeight="1">
      <c r="A20" s="95"/>
      <c r="B20" s="96"/>
      <c r="C20" s="97"/>
      <c r="D20" s="98" t="str">
        <f t="shared" si="11"/>
        <v/>
      </c>
      <c r="E20" s="99" t="str">
        <f t="shared" si="12"/>
        <v/>
      </c>
      <c r="F20" s="99" t="str">
        <f t="shared" si="13"/>
        <v/>
      </c>
      <c r="G20" s="99" t="str">
        <f t="shared" si="14"/>
        <v/>
      </c>
      <c r="H20" s="99" t="str">
        <f t="shared" si="15"/>
        <v/>
      </c>
      <c r="I20" s="99" t="str">
        <f t="shared" si="16"/>
        <v/>
      </c>
      <c r="J20" s="99" t="str">
        <f t="shared" si="17"/>
        <v/>
      </c>
      <c r="K20" s="99" t="str">
        <f t="shared" si="18"/>
        <v/>
      </c>
      <c r="L20" s="99" t="str">
        <f t="shared" si="19"/>
        <v/>
      </c>
      <c r="M20" s="99" t="str">
        <f t="shared" si="20"/>
        <v/>
      </c>
      <c r="N20" s="99" t="str">
        <f t="shared" si="21"/>
        <v/>
      </c>
    </row>
    <row r="21" spans="1:14" ht="18.75" customHeight="1">
      <c r="A21" s="95"/>
      <c r="B21" s="96"/>
      <c r="C21" s="97"/>
      <c r="D21" s="98" t="str">
        <f t="shared" si="11"/>
        <v/>
      </c>
      <c r="E21" s="99" t="str">
        <f t="shared" si="12"/>
        <v/>
      </c>
      <c r="F21" s="99" t="str">
        <f t="shared" si="13"/>
        <v/>
      </c>
      <c r="G21" s="99" t="str">
        <f t="shared" si="14"/>
        <v/>
      </c>
      <c r="H21" s="99" t="str">
        <f t="shared" si="15"/>
        <v/>
      </c>
      <c r="I21" s="99" t="str">
        <f t="shared" si="16"/>
        <v/>
      </c>
      <c r="J21" s="99" t="str">
        <f t="shared" si="17"/>
        <v/>
      </c>
      <c r="K21" s="99" t="str">
        <f t="shared" si="18"/>
        <v/>
      </c>
      <c r="L21" s="99" t="str">
        <f t="shared" si="19"/>
        <v/>
      </c>
      <c r="M21" s="99" t="str">
        <f t="shared" si="20"/>
        <v/>
      </c>
      <c r="N21" s="99" t="str">
        <f t="shared" si="21"/>
        <v/>
      </c>
    </row>
    <row r="22" spans="1:14" ht="18.75" customHeight="1">
      <c r="A22" s="95"/>
      <c r="B22" s="96"/>
      <c r="C22" s="97"/>
      <c r="D22" s="98" t="str">
        <f t="shared" si="11"/>
        <v/>
      </c>
      <c r="E22" s="99" t="str">
        <f t="shared" si="12"/>
        <v/>
      </c>
      <c r="F22" s="99" t="str">
        <f t="shared" si="13"/>
        <v/>
      </c>
      <c r="G22" s="99" t="str">
        <f t="shared" si="14"/>
        <v/>
      </c>
      <c r="H22" s="99" t="str">
        <f t="shared" si="15"/>
        <v/>
      </c>
      <c r="I22" s="99" t="str">
        <f t="shared" si="16"/>
        <v/>
      </c>
      <c r="J22" s="99" t="str">
        <f t="shared" si="17"/>
        <v/>
      </c>
      <c r="K22" s="99" t="str">
        <f t="shared" si="18"/>
        <v/>
      </c>
      <c r="L22" s="99" t="str">
        <f t="shared" si="19"/>
        <v/>
      </c>
      <c r="M22" s="99" t="str">
        <f t="shared" si="20"/>
        <v/>
      </c>
      <c r="N22" s="99" t="str">
        <f t="shared" si="21"/>
        <v/>
      </c>
    </row>
    <row r="23" spans="1:14" ht="18.75" customHeight="1">
      <c r="A23" s="95"/>
      <c r="B23" s="96"/>
      <c r="C23" s="97"/>
      <c r="D23" s="98" t="str">
        <f t="shared" si="11"/>
        <v/>
      </c>
      <c r="E23" s="99" t="str">
        <f t="shared" si="12"/>
        <v/>
      </c>
      <c r="F23" s="99" t="str">
        <f t="shared" si="13"/>
        <v/>
      </c>
      <c r="G23" s="99" t="str">
        <f t="shared" si="14"/>
        <v/>
      </c>
      <c r="H23" s="99" t="str">
        <f t="shared" si="15"/>
        <v/>
      </c>
      <c r="I23" s="99" t="str">
        <f t="shared" si="16"/>
        <v/>
      </c>
      <c r="J23" s="99" t="str">
        <f t="shared" si="17"/>
        <v/>
      </c>
      <c r="K23" s="99" t="str">
        <f t="shared" si="18"/>
        <v/>
      </c>
      <c r="L23" s="99" t="str">
        <f t="shared" si="19"/>
        <v/>
      </c>
      <c r="M23" s="99" t="str">
        <f t="shared" si="20"/>
        <v/>
      </c>
      <c r="N23" s="99" t="str">
        <f t="shared" si="21"/>
        <v/>
      </c>
    </row>
    <row r="24" spans="1:14" ht="18.75" customHeight="1">
      <c r="A24" s="95"/>
      <c r="B24" s="96"/>
      <c r="C24" s="97"/>
      <c r="D24" s="98" t="str">
        <f t="shared" si="11"/>
        <v/>
      </c>
      <c r="E24" s="99" t="str">
        <f t="shared" si="12"/>
        <v/>
      </c>
      <c r="F24" s="99" t="str">
        <f t="shared" si="13"/>
        <v/>
      </c>
      <c r="G24" s="99" t="str">
        <f t="shared" si="14"/>
        <v/>
      </c>
      <c r="H24" s="99" t="str">
        <f t="shared" si="15"/>
        <v/>
      </c>
      <c r="I24" s="99" t="str">
        <f t="shared" si="16"/>
        <v/>
      </c>
      <c r="J24" s="99" t="str">
        <f t="shared" si="17"/>
        <v/>
      </c>
      <c r="K24" s="99" t="str">
        <f t="shared" si="18"/>
        <v/>
      </c>
      <c r="L24" s="99" t="str">
        <f t="shared" si="19"/>
        <v/>
      </c>
      <c r="M24" s="99" t="str">
        <f t="shared" si="20"/>
        <v/>
      </c>
      <c r="N24" s="99" t="str">
        <f t="shared" si="21"/>
        <v/>
      </c>
    </row>
    <row r="25" spans="1:14" ht="18.75" customHeight="1">
      <c r="A25" s="95"/>
      <c r="B25" s="96"/>
      <c r="C25" s="97"/>
      <c r="D25" s="98" t="str">
        <f t="shared" si="11"/>
        <v/>
      </c>
      <c r="E25" s="99" t="str">
        <f t="shared" si="12"/>
        <v/>
      </c>
      <c r="F25" s="99" t="str">
        <f t="shared" si="13"/>
        <v/>
      </c>
      <c r="G25" s="99" t="str">
        <f t="shared" si="14"/>
        <v/>
      </c>
      <c r="H25" s="99" t="str">
        <f t="shared" si="15"/>
        <v/>
      </c>
      <c r="I25" s="99" t="str">
        <f t="shared" si="16"/>
        <v/>
      </c>
      <c r="J25" s="99" t="str">
        <f t="shared" si="17"/>
        <v/>
      </c>
      <c r="K25" s="99" t="str">
        <f t="shared" si="18"/>
        <v/>
      </c>
      <c r="L25" s="99" t="str">
        <f t="shared" si="19"/>
        <v/>
      </c>
      <c r="M25" s="99" t="str">
        <f t="shared" si="20"/>
        <v/>
      </c>
      <c r="N25" s="99" t="str">
        <f t="shared" si="21"/>
        <v/>
      </c>
    </row>
    <row r="26" spans="1:14" ht="18.75" customHeight="1">
      <c r="A26" s="95"/>
      <c r="B26" s="96"/>
      <c r="C26" s="97"/>
      <c r="D26" s="98" t="str">
        <f t="shared" si="11"/>
        <v/>
      </c>
      <c r="E26" s="99" t="str">
        <f t="shared" si="12"/>
        <v/>
      </c>
      <c r="F26" s="99" t="str">
        <f t="shared" si="13"/>
        <v/>
      </c>
      <c r="G26" s="99" t="str">
        <f t="shared" si="14"/>
        <v/>
      </c>
      <c r="H26" s="99" t="str">
        <f t="shared" si="15"/>
        <v/>
      </c>
      <c r="I26" s="99" t="str">
        <f t="shared" si="16"/>
        <v/>
      </c>
      <c r="J26" s="99" t="str">
        <f t="shared" si="17"/>
        <v/>
      </c>
      <c r="K26" s="99" t="str">
        <f t="shared" si="18"/>
        <v/>
      </c>
      <c r="L26" s="99" t="str">
        <f t="shared" si="19"/>
        <v/>
      </c>
      <c r="M26" s="99" t="str">
        <f t="shared" si="20"/>
        <v/>
      </c>
      <c r="N26" s="99" t="str">
        <f t="shared" si="21"/>
        <v/>
      </c>
    </row>
    <row r="27" spans="1:14" ht="18.75" customHeight="1">
      <c r="A27" s="95"/>
      <c r="B27" s="96"/>
      <c r="C27" s="97"/>
      <c r="D27" s="98" t="str">
        <f t="shared" si="11"/>
        <v/>
      </c>
      <c r="E27" s="99" t="str">
        <f t="shared" si="12"/>
        <v/>
      </c>
      <c r="F27" s="99" t="str">
        <f t="shared" si="13"/>
        <v/>
      </c>
      <c r="G27" s="99" t="str">
        <f t="shared" si="14"/>
        <v/>
      </c>
      <c r="H27" s="99" t="str">
        <f t="shared" si="15"/>
        <v/>
      </c>
      <c r="I27" s="99" t="str">
        <f t="shared" si="16"/>
        <v/>
      </c>
      <c r="J27" s="99" t="str">
        <f t="shared" si="17"/>
        <v/>
      </c>
      <c r="K27" s="99" t="str">
        <f t="shared" si="18"/>
        <v/>
      </c>
      <c r="L27" s="99" t="str">
        <f t="shared" si="19"/>
        <v/>
      </c>
      <c r="M27" s="99" t="str">
        <f t="shared" si="20"/>
        <v/>
      </c>
      <c r="N27" s="99" t="str">
        <f t="shared" si="21"/>
        <v/>
      </c>
    </row>
    <row r="28" spans="1:14" ht="18.75" customHeight="1">
      <c r="A28" s="95"/>
      <c r="B28" s="96"/>
      <c r="C28" s="97"/>
      <c r="D28" s="98" t="str">
        <f t="shared" si="11"/>
        <v/>
      </c>
      <c r="E28" s="99" t="str">
        <f t="shared" si="12"/>
        <v/>
      </c>
      <c r="F28" s="99" t="str">
        <f t="shared" si="13"/>
        <v/>
      </c>
      <c r="G28" s="99" t="str">
        <f t="shared" si="14"/>
        <v/>
      </c>
      <c r="H28" s="99" t="str">
        <f t="shared" si="15"/>
        <v/>
      </c>
      <c r="I28" s="99" t="str">
        <f t="shared" si="16"/>
        <v/>
      </c>
      <c r="J28" s="99" t="str">
        <f t="shared" si="17"/>
        <v/>
      </c>
      <c r="K28" s="99" t="str">
        <f t="shared" si="18"/>
        <v/>
      </c>
      <c r="L28" s="99" t="str">
        <f t="shared" si="19"/>
        <v/>
      </c>
      <c r="M28" s="99" t="str">
        <f t="shared" si="20"/>
        <v/>
      </c>
      <c r="N28" s="99" t="str">
        <f t="shared" si="21"/>
        <v/>
      </c>
    </row>
    <row r="29" spans="1:14" ht="18.75" customHeight="1">
      <c r="A29" s="95"/>
      <c r="B29" s="96"/>
      <c r="C29" s="97"/>
      <c r="D29" s="98" t="str">
        <f t="shared" si="11"/>
        <v/>
      </c>
      <c r="E29" s="99" t="str">
        <f t="shared" si="12"/>
        <v/>
      </c>
      <c r="F29" s="99" t="str">
        <f t="shared" si="13"/>
        <v/>
      </c>
      <c r="G29" s="99" t="str">
        <f t="shared" si="14"/>
        <v/>
      </c>
      <c r="H29" s="99" t="str">
        <f t="shared" si="15"/>
        <v/>
      </c>
      <c r="I29" s="99" t="str">
        <f t="shared" si="16"/>
        <v/>
      </c>
      <c r="J29" s="99" t="str">
        <f t="shared" si="17"/>
        <v/>
      </c>
      <c r="K29" s="99" t="str">
        <f t="shared" si="18"/>
        <v/>
      </c>
      <c r="L29" s="99" t="str">
        <f t="shared" si="19"/>
        <v/>
      </c>
      <c r="M29" s="99" t="str">
        <f t="shared" si="20"/>
        <v/>
      </c>
      <c r="N29" s="99" t="str">
        <f t="shared" si="21"/>
        <v/>
      </c>
    </row>
    <row r="30" spans="1:14" ht="18.75" customHeight="1">
      <c r="A30" s="95"/>
      <c r="B30" s="96"/>
      <c r="C30" s="97"/>
      <c r="D30" s="98" t="str">
        <f t="shared" si="11"/>
        <v/>
      </c>
      <c r="E30" s="99" t="str">
        <f t="shared" si="12"/>
        <v/>
      </c>
      <c r="F30" s="99" t="str">
        <f t="shared" si="13"/>
        <v/>
      </c>
      <c r="G30" s="99" t="str">
        <f t="shared" si="14"/>
        <v/>
      </c>
      <c r="H30" s="99" t="str">
        <f t="shared" si="15"/>
        <v/>
      </c>
      <c r="I30" s="99" t="str">
        <f t="shared" si="16"/>
        <v/>
      </c>
      <c r="J30" s="99" t="str">
        <f t="shared" si="17"/>
        <v/>
      </c>
      <c r="K30" s="99" t="str">
        <f t="shared" si="18"/>
        <v/>
      </c>
      <c r="L30" s="99" t="str">
        <f t="shared" si="19"/>
        <v/>
      </c>
      <c r="M30" s="99" t="str">
        <f t="shared" si="20"/>
        <v/>
      </c>
      <c r="N30" s="99" t="str">
        <f t="shared" si="21"/>
        <v/>
      </c>
    </row>
    <row r="31" spans="1:14" ht="18.75" customHeight="1">
      <c r="A31" s="95"/>
      <c r="B31" s="96"/>
      <c r="C31" s="97"/>
      <c r="D31" s="98" t="str">
        <f t="shared" si="11"/>
        <v/>
      </c>
      <c r="E31" s="99" t="str">
        <f t="shared" si="12"/>
        <v/>
      </c>
      <c r="F31" s="99" t="str">
        <f t="shared" si="13"/>
        <v/>
      </c>
      <c r="G31" s="99" t="str">
        <f t="shared" si="14"/>
        <v/>
      </c>
      <c r="H31" s="99" t="str">
        <f t="shared" si="15"/>
        <v/>
      </c>
      <c r="I31" s="99" t="str">
        <f t="shared" si="16"/>
        <v/>
      </c>
      <c r="J31" s="99" t="str">
        <f t="shared" si="17"/>
        <v/>
      </c>
      <c r="K31" s="99" t="str">
        <f t="shared" si="18"/>
        <v/>
      </c>
      <c r="L31" s="99" t="str">
        <f t="shared" si="19"/>
        <v/>
      </c>
      <c r="M31" s="99" t="str">
        <f t="shared" si="20"/>
        <v/>
      </c>
      <c r="N31" s="99" t="str">
        <f t="shared" si="21"/>
        <v/>
      </c>
    </row>
    <row r="32" spans="1:14" ht="18.75" customHeight="1">
      <c r="A32" s="95"/>
      <c r="B32" s="96"/>
      <c r="C32" s="97"/>
      <c r="D32" s="98" t="str">
        <f t="shared" si="11"/>
        <v/>
      </c>
      <c r="E32" s="99" t="str">
        <f t="shared" si="12"/>
        <v/>
      </c>
      <c r="F32" s="99" t="str">
        <f t="shared" si="13"/>
        <v/>
      </c>
      <c r="G32" s="99" t="str">
        <f t="shared" si="14"/>
        <v/>
      </c>
      <c r="H32" s="99" t="str">
        <f t="shared" si="15"/>
        <v/>
      </c>
      <c r="I32" s="99" t="str">
        <f t="shared" si="16"/>
        <v/>
      </c>
      <c r="J32" s="99" t="str">
        <f t="shared" si="17"/>
        <v/>
      </c>
      <c r="K32" s="99" t="str">
        <f t="shared" si="18"/>
        <v/>
      </c>
      <c r="L32" s="99" t="str">
        <f t="shared" si="19"/>
        <v/>
      </c>
      <c r="M32" s="99" t="str">
        <f t="shared" si="20"/>
        <v/>
      </c>
      <c r="N32" s="99" t="str">
        <f t="shared" si="21"/>
        <v/>
      </c>
    </row>
    <row r="33" spans="1:14" ht="18.75" customHeight="1">
      <c r="A33" s="95"/>
      <c r="B33" s="96"/>
      <c r="C33" s="97"/>
      <c r="D33" s="98" t="str">
        <f t="shared" si="11"/>
        <v/>
      </c>
      <c r="E33" s="99" t="str">
        <f t="shared" si="12"/>
        <v/>
      </c>
      <c r="F33" s="99" t="str">
        <f t="shared" si="13"/>
        <v/>
      </c>
      <c r="G33" s="99" t="str">
        <f t="shared" si="14"/>
        <v/>
      </c>
      <c r="H33" s="99" t="str">
        <f t="shared" si="15"/>
        <v/>
      </c>
      <c r="I33" s="99" t="str">
        <f t="shared" si="16"/>
        <v/>
      </c>
      <c r="J33" s="99" t="str">
        <f t="shared" si="17"/>
        <v/>
      </c>
      <c r="K33" s="99" t="str">
        <f t="shared" si="18"/>
        <v/>
      </c>
      <c r="L33" s="99" t="str">
        <f t="shared" si="19"/>
        <v/>
      </c>
      <c r="M33" s="99" t="str">
        <f t="shared" si="20"/>
        <v/>
      </c>
      <c r="N33" s="99" t="str">
        <f t="shared" si="21"/>
        <v/>
      </c>
    </row>
    <row r="34" spans="1:14" ht="18.75" customHeight="1">
      <c r="A34" s="95"/>
      <c r="B34" s="96"/>
      <c r="C34" s="97"/>
      <c r="D34" s="98" t="str">
        <f t="shared" si="11"/>
        <v/>
      </c>
      <c r="E34" s="99" t="str">
        <f t="shared" si="12"/>
        <v/>
      </c>
      <c r="F34" s="99" t="str">
        <f t="shared" si="13"/>
        <v/>
      </c>
      <c r="G34" s="99" t="str">
        <f t="shared" si="14"/>
        <v/>
      </c>
      <c r="H34" s="99" t="str">
        <f t="shared" si="15"/>
        <v/>
      </c>
      <c r="I34" s="99" t="str">
        <f t="shared" si="16"/>
        <v/>
      </c>
      <c r="J34" s="99" t="str">
        <f t="shared" si="17"/>
        <v/>
      </c>
      <c r="K34" s="99" t="str">
        <f t="shared" si="18"/>
        <v/>
      </c>
      <c r="L34" s="99" t="str">
        <f t="shared" si="19"/>
        <v/>
      </c>
      <c r="M34" s="99" t="str">
        <f t="shared" si="20"/>
        <v/>
      </c>
      <c r="N34" s="99" t="str">
        <f t="shared" si="21"/>
        <v/>
      </c>
    </row>
    <row r="35" spans="1:14" ht="18.75" customHeight="1">
      <c r="A35" s="95"/>
      <c r="B35" s="96"/>
      <c r="C35" s="97"/>
      <c r="D35" s="98" t="str">
        <f t="shared" si="11"/>
        <v/>
      </c>
      <c r="E35" s="99" t="str">
        <f t="shared" si="12"/>
        <v/>
      </c>
      <c r="F35" s="99" t="str">
        <f t="shared" si="13"/>
        <v/>
      </c>
      <c r="G35" s="99" t="str">
        <f t="shared" si="14"/>
        <v/>
      </c>
      <c r="H35" s="99" t="str">
        <f t="shared" si="15"/>
        <v/>
      </c>
      <c r="I35" s="99" t="str">
        <f t="shared" si="16"/>
        <v/>
      </c>
      <c r="J35" s="99" t="str">
        <f t="shared" si="17"/>
        <v/>
      </c>
      <c r="K35" s="99" t="str">
        <f t="shared" si="18"/>
        <v/>
      </c>
      <c r="L35" s="99" t="str">
        <f t="shared" si="19"/>
        <v/>
      </c>
      <c r="M35" s="99" t="str">
        <f t="shared" si="20"/>
        <v/>
      </c>
      <c r="N35" s="99" t="str">
        <f t="shared" si="21"/>
        <v/>
      </c>
    </row>
    <row r="36" spans="1:14" ht="18.75" customHeight="1">
      <c r="A36" s="95"/>
      <c r="B36" s="96"/>
      <c r="C36" s="97"/>
      <c r="D36" s="98" t="str">
        <f t="shared" si="11"/>
        <v/>
      </c>
      <c r="E36" s="99" t="str">
        <f t="shared" si="12"/>
        <v/>
      </c>
      <c r="F36" s="99" t="str">
        <f t="shared" si="13"/>
        <v/>
      </c>
      <c r="G36" s="99" t="str">
        <f t="shared" si="14"/>
        <v/>
      </c>
      <c r="H36" s="99" t="str">
        <f t="shared" si="15"/>
        <v/>
      </c>
      <c r="I36" s="99" t="str">
        <f t="shared" si="16"/>
        <v/>
      </c>
      <c r="J36" s="99" t="str">
        <f t="shared" si="17"/>
        <v/>
      </c>
      <c r="K36" s="99" t="str">
        <f t="shared" si="18"/>
        <v/>
      </c>
      <c r="L36" s="99" t="str">
        <f t="shared" si="19"/>
        <v/>
      </c>
      <c r="M36" s="99" t="str">
        <f t="shared" si="20"/>
        <v/>
      </c>
      <c r="N36" s="99" t="str">
        <f t="shared" si="21"/>
        <v/>
      </c>
    </row>
    <row r="37" spans="1:14" ht="18.75" customHeight="1">
      <c r="A37" s="95"/>
      <c r="B37" s="96"/>
      <c r="C37" s="97"/>
      <c r="D37" s="98" t="str">
        <f t="shared" si="11"/>
        <v/>
      </c>
      <c r="E37" s="99" t="str">
        <f t="shared" si="12"/>
        <v/>
      </c>
      <c r="F37" s="99" t="str">
        <f t="shared" si="13"/>
        <v/>
      </c>
      <c r="G37" s="99" t="str">
        <f t="shared" si="14"/>
        <v/>
      </c>
      <c r="H37" s="99" t="str">
        <f t="shared" si="15"/>
        <v/>
      </c>
      <c r="I37" s="99" t="str">
        <f t="shared" si="16"/>
        <v/>
      </c>
      <c r="J37" s="99" t="str">
        <f t="shared" si="17"/>
        <v/>
      </c>
      <c r="K37" s="99" t="str">
        <f t="shared" si="18"/>
        <v/>
      </c>
      <c r="L37" s="99" t="str">
        <f t="shared" si="19"/>
        <v/>
      </c>
      <c r="M37" s="99" t="str">
        <f t="shared" si="20"/>
        <v/>
      </c>
      <c r="N37" s="99" t="str">
        <f t="shared" si="21"/>
        <v/>
      </c>
    </row>
    <row r="38" spans="1:14" ht="18.75" customHeight="1">
      <c r="A38" s="95"/>
      <c r="B38" s="96"/>
      <c r="C38" s="97"/>
      <c r="D38" s="98" t="str">
        <f t="shared" si="11"/>
        <v/>
      </c>
      <c r="E38" s="99" t="str">
        <f t="shared" si="12"/>
        <v/>
      </c>
      <c r="F38" s="99" t="str">
        <f t="shared" si="13"/>
        <v/>
      </c>
      <c r="G38" s="99" t="str">
        <f t="shared" si="14"/>
        <v/>
      </c>
      <c r="H38" s="99" t="str">
        <f t="shared" si="15"/>
        <v/>
      </c>
      <c r="I38" s="99" t="str">
        <f t="shared" si="16"/>
        <v/>
      </c>
      <c r="J38" s="99" t="str">
        <f t="shared" si="17"/>
        <v/>
      </c>
      <c r="K38" s="99" t="str">
        <f t="shared" si="18"/>
        <v/>
      </c>
      <c r="L38" s="99" t="str">
        <f t="shared" si="19"/>
        <v/>
      </c>
      <c r="M38" s="99" t="str">
        <f t="shared" si="20"/>
        <v/>
      </c>
      <c r="N38" s="99" t="str">
        <f t="shared" si="21"/>
        <v/>
      </c>
    </row>
  </sheetData>
  <mergeCells count="3">
    <mergeCell ref="A1:N1"/>
    <mergeCell ref="A2:N2"/>
    <mergeCell ref="A18:N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8A96E"/>
  </sheetPr>
  <dimension ref="A1:G2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1"/>
    </sheetView>
  </sheetViews>
  <sheetFormatPr baseColWidth="10" defaultColWidth="8.6640625" defaultRowHeight="15"/>
  <cols>
    <col min="1" max="1" width="30" customWidth="1"/>
    <col min="2" max="2" width="12" customWidth="1"/>
    <col min="3" max="6" width="13" customWidth="1"/>
    <col min="7" max="7" width="16" customWidth="1"/>
  </cols>
  <sheetData>
    <row r="1" spans="1:7" ht="37.5" customHeight="1">
      <c r="A1" s="3" t="s">
        <v>155</v>
      </c>
      <c r="B1" s="3"/>
      <c r="C1" s="3"/>
      <c r="D1" s="3"/>
      <c r="E1" s="3"/>
      <c r="F1" s="3"/>
      <c r="G1" s="3"/>
    </row>
    <row r="2" spans="1:7" ht="18" customHeight="1">
      <c r="A2" s="2" t="s">
        <v>156</v>
      </c>
      <c r="B2" s="2"/>
      <c r="C2" s="2"/>
      <c r="D2" s="2"/>
      <c r="E2" s="2"/>
      <c r="F2" s="2"/>
      <c r="G2" s="2"/>
    </row>
    <row r="3" spans="1:7" ht="21.75" customHeight="1">
      <c r="A3" s="100" t="s">
        <v>157</v>
      </c>
      <c r="B3" s="85" t="s">
        <v>127</v>
      </c>
      <c r="C3" s="85" t="s">
        <v>158</v>
      </c>
      <c r="D3" s="84" t="s">
        <v>159</v>
      </c>
      <c r="E3" s="85" t="s">
        <v>66</v>
      </c>
      <c r="F3" s="85" t="s">
        <v>65</v>
      </c>
      <c r="G3" s="85" t="s">
        <v>123</v>
      </c>
    </row>
    <row r="4" spans="1:7" ht="19.5" customHeight="1">
      <c r="A4" s="86" t="s">
        <v>149</v>
      </c>
      <c r="B4" s="87">
        <v>700</v>
      </c>
      <c r="C4" s="88">
        <v>55</v>
      </c>
      <c r="D4" s="44">
        <v>138</v>
      </c>
      <c r="E4" s="46">
        <f t="shared" ref="E4:E13" si="0">IF(OR(C4=0,D4=0),"—",D4-C4)</f>
        <v>83</v>
      </c>
      <c r="F4" s="47">
        <f t="shared" ref="F4:F13" si="1">IF(OR(C4=0,D4=0),"—",(D4-C4)/D4)</f>
        <v>0.60144927536231885</v>
      </c>
      <c r="G4" s="74" t="str">
        <f t="shared" ref="G4:G13" si="2">IF(F4="—","—",IF(F4&gt;=0.5,"✅ Good","⚠ Check margin"))</f>
        <v>✅ Good</v>
      </c>
    </row>
    <row r="5" spans="1:7" ht="19.5" customHeight="1">
      <c r="A5" s="91" t="s">
        <v>142</v>
      </c>
      <c r="B5" s="92">
        <v>700</v>
      </c>
      <c r="C5" s="93">
        <v>50</v>
      </c>
      <c r="D5" s="44">
        <v>128</v>
      </c>
      <c r="E5" s="46">
        <f t="shared" si="0"/>
        <v>78</v>
      </c>
      <c r="F5" s="47">
        <f t="shared" si="1"/>
        <v>0.609375</v>
      </c>
      <c r="G5" s="79" t="str">
        <f t="shared" si="2"/>
        <v>✅ Good</v>
      </c>
    </row>
    <row r="6" spans="1:7" ht="19.5" customHeight="1">
      <c r="A6" s="86" t="s">
        <v>140</v>
      </c>
      <c r="B6" s="87">
        <v>700</v>
      </c>
      <c r="C6" s="88">
        <v>50</v>
      </c>
      <c r="D6" s="44">
        <v>128</v>
      </c>
      <c r="E6" s="46">
        <f t="shared" si="0"/>
        <v>78</v>
      </c>
      <c r="F6" s="47">
        <f t="shared" si="1"/>
        <v>0.609375</v>
      </c>
      <c r="G6" s="74" t="str">
        <f t="shared" si="2"/>
        <v>✅ Good</v>
      </c>
    </row>
    <row r="7" spans="1:7" ht="19.5" customHeight="1">
      <c r="A7" s="91" t="s">
        <v>160</v>
      </c>
      <c r="B7" s="92">
        <v>700</v>
      </c>
      <c r="C7" s="93">
        <v>46</v>
      </c>
      <c r="D7" s="44">
        <v>118</v>
      </c>
      <c r="E7" s="46">
        <f t="shared" si="0"/>
        <v>72</v>
      </c>
      <c r="F7" s="47">
        <f t="shared" si="1"/>
        <v>0.61016949152542377</v>
      </c>
      <c r="G7" s="79" t="str">
        <f t="shared" si="2"/>
        <v>✅ Good</v>
      </c>
    </row>
    <row r="8" spans="1:7" ht="19.5" customHeight="1">
      <c r="A8" s="86" t="s">
        <v>143</v>
      </c>
      <c r="B8" s="87">
        <v>500</v>
      </c>
      <c r="C8" s="88">
        <v>39.299999999999997</v>
      </c>
      <c r="D8" s="44">
        <v>108</v>
      </c>
      <c r="E8" s="46">
        <f t="shared" si="0"/>
        <v>68.7</v>
      </c>
      <c r="F8" s="47">
        <f t="shared" si="1"/>
        <v>0.63611111111111118</v>
      </c>
      <c r="G8" s="74" t="str">
        <f t="shared" si="2"/>
        <v>✅ Good</v>
      </c>
    </row>
    <row r="9" spans="1:7" ht="19.5" customHeight="1">
      <c r="A9" s="91" t="s">
        <v>141</v>
      </c>
      <c r="B9" s="92">
        <v>500</v>
      </c>
      <c r="C9" s="93">
        <v>22</v>
      </c>
      <c r="D9" s="44">
        <v>88</v>
      </c>
      <c r="E9" s="46">
        <f t="shared" si="0"/>
        <v>66</v>
      </c>
      <c r="F9" s="47">
        <f t="shared" si="1"/>
        <v>0.75</v>
      </c>
      <c r="G9" s="79" t="str">
        <f t="shared" si="2"/>
        <v>✅ Good</v>
      </c>
    </row>
    <row r="10" spans="1:7" ht="19.5" customHeight="1">
      <c r="A10" s="86" t="s">
        <v>147</v>
      </c>
      <c r="B10" s="87">
        <v>750</v>
      </c>
      <c r="C10" s="88">
        <v>50</v>
      </c>
      <c r="D10" s="44">
        <v>128</v>
      </c>
      <c r="E10" s="46">
        <f t="shared" si="0"/>
        <v>78</v>
      </c>
      <c r="F10" s="47">
        <f t="shared" si="1"/>
        <v>0.609375</v>
      </c>
      <c r="G10" s="74" t="str">
        <f t="shared" si="2"/>
        <v>✅ Good</v>
      </c>
    </row>
    <row r="11" spans="1:7" ht="19.5" customHeight="1">
      <c r="A11" s="91" t="s">
        <v>145</v>
      </c>
      <c r="B11" s="92">
        <v>750</v>
      </c>
      <c r="C11" s="93">
        <v>99</v>
      </c>
      <c r="D11" s="44">
        <v>228</v>
      </c>
      <c r="E11" s="46">
        <f t="shared" si="0"/>
        <v>129</v>
      </c>
      <c r="F11" s="47">
        <f t="shared" si="1"/>
        <v>0.56578947368421051</v>
      </c>
      <c r="G11" s="79" t="str">
        <f t="shared" si="2"/>
        <v>✅ Good</v>
      </c>
    </row>
    <row r="12" spans="1:7" ht="19.5" customHeight="1">
      <c r="A12" s="86" t="s">
        <v>146</v>
      </c>
      <c r="B12" s="87">
        <v>700</v>
      </c>
      <c r="C12" s="88">
        <v>70</v>
      </c>
      <c r="D12" s="44">
        <v>168</v>
      </c>
      <c r="E12" s="46">
        <f t="shared" si="0"/>
        <v>98</v>
      </c>
      <c r="F12" s="47">
        <f t="shared" si="1"/>
        <v>0.58333333333333337</v>
      </c>
      <c r="G12" s="74" t="str">
        <f t="shared" si="2"/>
        <v>✅ Good</v>
      </c>
    </row>
    <row r="13" spans="1:7" ht="19.5" customHeight="1">
      <c r="A13" s="91" t="s">
        <v>153</v>
      </c>
      <c r="B13" s="92">
        <v>720</v>
      </c>
      <c r="C13" s="93">
        <v>27</v>
      </c>
      <c r="D13" s="44">
        <v>88</v>
      </c>
      <c r="E13" s="46">
        <f t="shared" si="0"/>
        <v>61</v>
      </c>
      <c r="F13" s="47">
        <f t="shared" si="1"/>
        <v>0.69318181818181823</v>
      </c>
      <c r="G13" s="79" t="str">
        <f t="shared" si="2"/>
        <v>✅ Good</v>
      </c>
    </row>
    <row r="14" spans="1:7" ht="13.5" customHeight="1">
      <c r="A14" s="1" t="s">
        <v>161</v>
      </c>
      <c r="B14" s="1"/>
      <c r="C14" s="1"/>
      <c r="D14" s="1"/>
      <c r="E14" s="1"/>
      <c r="F14" s="1"/>
      <c r="G14" s="1"/>
    </row>
    <row r="15" spans="1:7" ht="19.5" customHeight="1">
      <c r="A15" s="101"/>
      <c r="B15" s="102"/>
      <c r="C15" s="103"/>
      <c r="D15" s="44"/>
      <c r="E15" s="104" t="str">
        <f t="shared" ref="E15:E29" si="3">IF(OR(C15=0,D15=0),"—",D15-C15)</f>
        <v>—</v>
      </c>
      <c r="F15" s="105" t="str">
        <f t="shared" ref="F15:F29" si="4">IF(OR(C15=0,D15=0),"—",(D15-C15)/D15)</f>
        <v>—</v>
      </c>
      <c r="G15" s="106" t="str">
        <f t="shared" ref="G15:G29" si="5">IF(F15="—","—",IF(F15&gt;=0.5,"✅ Good","⚠ Check margin"))</f>
        <v>—</v>
      </c>
    </row>
    <row r="16" spans="1:7" ht="19.5" customHeight="1">
      <c r="A16" s="101"/>
      <c r="B16" s="102"/>
      <c r="C16" s="103"/>
      <c r="D16" s="44"/>
      <c r="E16" s="104" t="str">
        <f t="shared" si="3"/>
        <v>—</v>
      </c>
      <c r="F16" s="105" t="str">
        <f t="shared" si="4"/>
        <v>—</v>
      </c>
      <c r="G16" s="106" t="str">
        <f t="shared" si="5"/>
        <v>—</v>
      </c>
    </row>
    <row r="17" spans="1:7" ht="19.5" customHeight="1">
      <c r="A17" s="101"/>
      <c r="B17" s="102"/>
      <c r="C17" s="103"/>
      <c r="D17" s="44"/>
      <c r="E17" s="104" t="str">
        <f t="shared" si="3"/>
        <v>—</v>
      </c>
      <c r="F17" s="105" t="str">
        <f t="shared" si="4"/>
        <v>—</v>
      </c>
      <c r="G17" s="106" t="str">
        <f t="shared" si="5"/>
        <v>—</v>
      </c>
    </row>
    <row r="18" spans="1:7" ht="19.5" customHeight="1">
      <c r="A18" s="101"/>
      <c r="B18" s="102"/>
      <c r="C18" s="103"/>
      <c r="D18" s="44"/>
      <c r="E18" s="104" t="str">
        <f t="shared" si="3"/>
        <v>—</v>
      </c>
      <c r="F18" s="105" t="str">
        <f t="shared" si="4"/>
        <v>—</v>
      </c>
      <c r="G18" s="106" t="str">
        <f t="shared" si="5"/>
        <v>—</v>
      </c>
    </row>
    <row r="19" spans="1:7" ht="19.5" customHeight="1">
      <c r="A19" s="101"/>
      <c r="B19" s="102"/>
      <c r="C19" s="103"/>
      <c r="D19" s="44"/>
      <c r="E19" s="104" t="str">
        <f t="shared" si="3"/>
        <v>—</v>
      </c>
      <c r="F19" s="105" t="str">
        <f t="shared" si="4"/>
        <v>—</v>
      </c>
      <c r="G19" s="106" t="str">
        <f t="shared" si="5"/>
        <v>—</v>
      </c>
    </row>
    <row r="20" spans="1:7" ht="19.5" customHeight="1">
      <c r="A20" s="101"/>
      <c r="B20" s="102"/>
      <c r="C20" s="103"/>
      <c r="D20" s="44"/>
      <c r="E20" s="104" t="str">
        <f t="shared" si="3"/>
        <v>—</v>
      </c>
      <c r="F20" s="105" t="str">
        <f t="shared" si="4"/>
        <v>—</v>
      </c>
      <c r="G20" s="106" t="str">
        <f t="shared" si="5"/>
        <v>—</v>
      </c>
    </row>
    <row r="21" spans="1:7" ht="19.5" customHeight="1">
      <c r="A21" s="101"/>
      <c r="B21" s="102"/>
      <c r="C21" s="103"/>
      <c r="D21" s="44"/>
      <c r="E21" s="104" t="str">
        <f t="shared" si="3"/>
        <v>—</v>
      </c>
      <c r="F21" s="105" t="str">
        <f t="shared" si="4"/>
        <v>—</v>
      </c>
      <c r="G21" s="106" t="str">
        <f t="shared" si="5"/>
        <v>—</v>
      </c>
    </row>
    <row r="22" spans="1:7" ht="19.5" customHeight="1">
      <c r="A22" s="101"/>
      <c r="B22" s="102"/>
      <c r="C22" s="103"/>
      <c r="D22" s="44"/>
      <c r="E22" s="104" t="str">
        <f t="shared" si="3"/>
        <v>—</v>
      </c>
      <c r="F22" s="105" t="str">
        <f t="shared" si="4"/>
        <v>—</v>
      </c>
      <c r="G22" s="106" t="str">
        <f t="shared" si="5"/>
        <v>—</v>
      </c>
    </row>
    <row r="23" spans="1:7" ht="19.5" customHeight="1">
      <c r="A23" s="101"/>
      <c r="B23" s="102"/>
      <c r="C23" s="103"/>
      <c r="D23" s="44"/>
      <c r="E23" s="104" t="str">
        <f t="shared" si="3"/>
        <v>—</v>
      </c>
      <c r="F23" s="105" t="str">
        <f t="shared" si="4"/>
        <v>—</v>
      </c>
      <c r="G23" s="106" t="str">
        <f t="shared" si="5"/>
        <v>—</v>
      </c>
    </row>
    <row r="24" spans="1:7" ht="19.5" customHeight="1">
      <c r="A24" s="101"/>
      <c r="B24" s="102"/>
      <c r="C24" s="103"/>
      <c r="D24" s="44"/>
      <c r="E24" s="104" t="str">
        <f t="shared" si="3"/>
        <v>—</v>
      </c>
      <c r="F24" s="105" t="str">
        <f t="shared" si="4"/>
        <v>—</v>
      </c>
      <c r="G24" s="106" t="str">
        <f t="shared" si="5"/>
        <v>—</v>
      </c>
    </row>
    <row r="25" spans="1:7" ht="19.5" customHeight="1">
      <c r="A25" s="101"/>
      <c r="B25" s="102"/>
      <c r="C25" s="103"/>
      <c r="D25" s="44"/>
      <c r="E25" s="104" t="str">
        <f t="shared" si="3"/>
        <v>—</v>
      </c>
      <c r="F25" s="105" t="str">
        <f t="shared" si="4"/>
        <v>—</v>
      </c>
      <c r="G25" s="106" t="str">
        <f t="shared" si="5"/>
        <v>—</v>
      </c>
    </row>
    <row r="26" spans="1:7" ht="19.5" customHeight="1">
      <c r="A26" s="101"/>
      <c r="B26" s="102"/>
      <c r="C26" s="103"/>
      <c r="D26" s="44"/>
      <c r="E26" s="104" t="str">
        <f t="shared" si="3"/>
        <v>—</v>
      </c>
      <c r="F26" s="105" t="str">
        <f t="shared" si="4"/>
        <v>—</v>
      </c>
      <c r="G26" s="106" t="str">
        <f t="shared" si="5"/>
        <v>—</v>
      </c>
    </row>
    <row r="27" spans="1:7" ht="19.5" customHeight="1">
      <c r="A27" s="101"/>
      <c r="B27" s="102"/>
      <c r="C27" s="103"/>
      <c r="D27" s="44"/>
      <c r="E27" s="104" t="str">
        <f t="shared" si="3"/>
        <v>—</v>
      </c>
      <c r="F27" s="105" t="str">
        <f t="shared" si="4"/>
        <v>—</v>
      </c>
      <c r="G27" s="106" t="str">
        <f t="shared" si="5"/>
        <v>—</v>
      </c>
    </row>
    <row r="28" spans="1:7" ht="19.5" customHeight="1">
      <c r="A28" s="101"/>
      <c r="B28" s="102"/>
      <c r="C28" s="103"/>
      <c r="D28" s="44"/>
      <c r="E28" s="104" t="str">
        <f t="shared" si="3"/>
        <v>—</v>
      </c>
      <c r="F28" s="105" t="str">
        <f t="shared" si="4"/>
        <v>—</v>
      </c>
      <c r="G28" s="106" t="str">
        <f t="shared" si="5"/>
        <v>—</v>
      </c>
    </row>
    <row r="29" spans="1:7" ht="19.5" customHeight="1">
      <c r="A29" s="101"/>
      <c r="B29" s="102"/>
      <c r="C29" s="103"/>
      <c r="D29" s="44"/>
      <c r="E29" s="104" t="str">
        <f t="shared" si="3"/>
        <v>—</v>
      </c>
      <c r="F29" s="105" t="str">
        <f t="shared" si="4"/>
        <v>—</v>
      </c>
      <c r="G29" s="106" t="str">
        <f t="shared" si="5"/>
        <v>—</v>
      </c>
    </row>
  </sheetData>
  <mergeCells count="3">
    <mergeCell ref="A1:G1"/>
    <mergeCell ref="A2:G2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Menu</vt:lpstr>
      <vt:lpstr>Costing</vt:lpstr>
      <vt:lpstr>Alcohol Costing</vt:lpstr>
      <vt:lpstr>Bottle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Matthias Yeo</cp:lastModifiedBy>
  <cp:revision>0</cp:revision>
  <dcterms:created xsi:type="dcterms:W3CDTF">2026-06-28T08:31:12Z</dcterms:created>
  <dcterms:modified xsi:type="dcterms:W3CDTF">2026-06-29T07:43:08Z</dcterms:modified>
  <dc:language>en-US</dc:language>
</cp:coreProperties>
</file>